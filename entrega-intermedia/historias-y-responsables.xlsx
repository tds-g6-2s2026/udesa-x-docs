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istorias" sheetId="2" state="visible" r:id="rId2"/>
    <sheet xmlns:r="http://schemas.openxmlformats.org/officeDocument/2006/relationships" name="Requisitos técnicos" sheetId="3" state="visible" r:id="rId3"/>
  </sheets>
  <definedNames>
    <definedName name="_xlnm._FilterDatabase" localSheetId="1" hidden="1">'Historias'!$A$1:$O$57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color rgb="000000FF"/>
      <sz val="10"/>
    </font>
    <font>
      <name val="Arial"/>
      <i val="1"/>
      <color rgb="00555555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9" fontId="2" fillId="0" borderId="1" pivotButton="0" quotePrefix="0" xfId="0"/>
    <xf numFmtId="0" fontId="7" fillId="0" borderId="1" pivotButton="0" quotePrefix="0" xfId="0"/>
    <xf numFmtId="9" fontId="7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E3F2E6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E8EEFC"/>
        </patternFill>
      </fill>
    </dxf>
    <dxf>
      <fill>
        <patternFill patternType="solid">
          <fgColor rgb="00FBE5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Equipo</author>
  </authors>
  <commentList>
    <comment ref="B9" authorId="0" shapeId="0">
      <text>
        <t>Clase 6.1, "Repaso Entrega Intermedia": puntos de historias de usuario para la entrega intermedia ~65.</t>
      </text>
    </comment>
    <comment ref="D13" authorId="0" shapeId="0">
      <text>
        <t>Enunciado, "Condición de aprobación": 15 puntos de historias optativas por integrante, al final del semestre.</t>
      </text>
    </comment>
  </commentList>
</comments>
</file>

<file path=xl/comments/comment2.xml><?xml version="1.0" encoding="utf-8"?>
<comments xmlns="http://schemas.openxmlformats.org/spreadsheetml/2006/main">
  <authors>
    <author>Equipo</author>
  </authors>
  <commentList>
    <comment ref="F1" authorId="0" shapeId="0">
      <text>
        <t>Puntos de cada historia según las etiquetas del backlog en GitHub (repo udesa-x-project).</t>
      </text>
    </comment>
    <comment ref="G1" authorId="0" shapeId="0">
      <text>
        <t>Estado al 2 de octubre de 2026, verificado contra los pull requests mergeados en main.</t>
      </text>
    </comment>
    <comment ref="O1" authorId="0" shapeId="0">
      <text>
        <t>Fórmula: toma los puntos solo si el estado empieza con "Hecha".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6" customWidth="1" min="3" max="3"/>
    <col width="24" customWidth="1" min="4" max="4"/>
    <col width="18" customWidth="1" min="5" max="5"/>
  </cols>
  <sheetData>
    <row r="1">
      <c r="A1" s="1" t="inlineStr">
        <is>
          <t>UdeSA-X · Entrega intermedia · Historias de usuario</t>
        </is>
      </c>
    </row>
    <row r="2">
      <c r="A2" s="2" t="inlineStr">
        <is>
          <t>Estado al 2 de octubre de 2026. Fuente: backlog y pull requests de la organización tds-g6-2s2026 en GitHub.</t>
        </is>
      </c>
    </row>
    <row r="4" ht="30" customHeight="1">
      <c r="A4" s="3" t="inlineStr">
        <is>
          <t>Puntos</t>
        </is>
      </c>
      <c r="B4" s="3" t="inlineStr">
        <is>
          <t>Total del backlog</t>
        </is>
      </c>
      <c r="C4" s="3" t="inlineStr">
        <is>
          <t>Hechos</t>
        </is>
      </c>
      <c r="D4" s="3" t="inlineStr">
        <is>
          <t>Hechos con la issue cerrada</t>
        </is>
      </c>
      <c r="E4" s="3" t="inlineStr">
        <is>
          <t>% hecho</t>
        </is>
      </c>
    </row>
    <row r="5">
      <c r="A5" s="4" t="inlineStr">
        <is>
          <t>Obligatorias</t>
        </is>
      </c>
      <c r="B5" s="4">
        <f>SUMIF(Historias!$E:$E,"Obligatoria",Historias!$F:$F)</f>
        <v/>
      </c>
      <c r="C5" s="4">
        <f>SUMIF(Historias!$E:$E,"Obligatoria",Historias!$O:$O)</f>
        <v/>
      </c>
      <c r="D5" s="4">
        <f>SUMIFS(Historias!$F:$F,Historias!$E:$E,"Obligatoria",Historias!$M:$M,"Sí")</f>
        <v/>
      </c>
      <c r="E5" s="5">
        <f>IF(B5=0,0,C5/B5)</f>
        <v/>
      </c>
    </row>
    <row r="6">
      <c r="A6" s="4" t="inlineStr">
        <is>
          <t>Optativas</t>
        </is>
      </c>
      <c r="B6" s="4">
        <f>SUMIF(Historias!$E:$E,"Optativa",Historias!$F:$F)</f>
        <v/>
      </c>
      <c r="C6" s="4">
        <f>SUMIF(Historias!$E:$E,"Optativa",Historias!$O:$O)</f>
        <v/>
      </c>
      <c r="D6" s="4">
        <f>SUMIFS(Historias!$F:$F,Historias!$E:$E,"Optativa",Historias!$M:$M,"Sí")</f>
        <v/>
      </c>
      <c r="E6" s="5">
        <f>IF(B6=0,0,C6/B6)</f>
        <v/>
      </c>
    </row>
    <row r="7">
      <c r="A7" s="6" t="inlineStr">
        <is>
          <t>Total</t>
        </is>
      </c>
      <c r="B7" s="6">
        <f>B5+B6</f>
        <v/>
      </c>
      <c r="C7" s="6">
        <f>C5+C6</f>
        <v/>
      </c>
      <c r="D7" s="6">
        <f>D5+D6</f>
        <v/>
      </c>
      <c r="E7" s="7">
        <f>IF(B7=0,0,C7/B7)</f>
        <v/>
      </c>
    </row>
    <row r="9">
      <c r="A9" s="4" t="inlineStr">
        <is>
          <t>Referencia de la cátedra para la entrega intermedia</t>
        </is>
      </c>
      <c r="B9" s="8" t="n">
        <v>65</v>
      </c>
    </row>
    <row r="10">
      <c r="A10" s="6" t="inlineStr">
        <is>
          <t>Diferencia contra la referencia</t>
        </is>
      </c>
      <c r="B10" s="6">
        <f>C7-B9</f>
        <v/>
      </c>
    </row>
    <row r="12" ht="30" customHeight="1">
      <c r="A12" s="3" t="inlineStr">
        <is>
          <t>Por integrante</t>
        </is>
      </c>
      <c r="B12" s="3" t="inlineStr">
        <is>
          <t>Obligatorios hechos</t>
        </is>
      </c>
      <c r="C12" s="3" t="inlineStr">
        <is>
          <t>Optativos hechos</t>
        </is>
      </c>
      <c r="D12" s="3" t="inlineStr">
        <is>
          <t>Optativos requeridos al final</t>
        </is>
      </c>
      <c r="E12" s="3" t="inlineStr">
        <is>
          <t>Optativos que faltan</t>
        </is>
      </c>
    </row>
    <row r="13">
      <c r="A13" s="4" t="inlineStr">
        <is>
          <t>Joaquín Szterensus</t>
        </is>
      </c>
      <c r="B13" s="4">
        <f>SUMIFS(Historias!$O:$O,Historias!$H:$H,A13,Historias!$E:$E,"Obligatoria")</f>
        <v/>
      </c>
      <c r="C13" s="4">
        <f>SUMIFS(Historias!$O:$O,Historias!$H:$H,A13,Historias!$E:$E,"Optativa")</f>
        <v/>
      </c>
      <c r="D13" s="8" t="n">
        <v>15</v>
      </c>
      <c r="E13" s="4">
        <f>MAX(0,D13-C13)</f>
        <v/>
      </c>
    </row>
    <row r="14">
      <c r="A14" s="4" t="inlineStr">
        <is>
          <t>Santino Domato</t>
        </is>
      </c>
      <c r="B14" s="4">
        <f>SUMIFS(Historias!$O:$O,Historias!$H:$H,A14,Historias!$E:$E,"Obligatoria")</f>
        <v/>
      </c>
      <c r="C14" s="4">
        <f>SUMIFS(Historias!$O:$O,Historias!$H:$H,A14,Historias!$E:$E,"Optativa")</f>
        <v/>
      </c>
      <c r="D14" s="8" t="n">
        <v>15</v>
      </c>
      <c r="E14" s="4">
        <f>MAX(0,D14-C14)</f>
        <v/>
      </c>
    </row>
    <row r="15">
      <c r="A15" s="4" t="inlineStr">
        <is>
          <t>Tomás Díaz</t>
        </is>
      </c>
      <c r="B15" s="4">
        <f>SUMIFS(Historias!$O:$O,Historias!$H:$H,A15,Historias!$E:$E,"Obligatoria")</f>
        <v/>
      </c>
      <c r="C15" s="4">
        <f>SUMIFS(Historias!$O:$O,Historias!$H:$H,A15,Historias!$E:$E,"Optativa")</f>
        <v/>
      </c>
      <c r="D15" s="8" t="n">
        <v>15</v>
      </c>
      <c r="E15" s="4">
        <f>MAX(0,D15-C15)</f>
        <v/>
      </c>
    </row>
    <row r="16">
      <c r="A16" s="4" t="inlineStr">
        <is>
          <t>Facundo Vulcano</t>
        </is>
      </c>
      <c r="B16" s="4">
        <f>SUMIFS(Historias!$O:$O,Historias!$H:$H,A16,Historias!$E:$E,"Obligatoria")</f>
        <v/>
      </c>
      <c r="C16" s="4">
        <f>SUMIFS(Historias!$O:$O,Historias!$H:$H,A16,Historias!$E:$E,"Optativa")</f>
        <v/>
      </c>
      <c r="D16" s="8" t="n">
        <v>15</v>
      </c>
      <c r="E16" s="4">
        <f>MAX(0,D16-C16)</f>
        <v/>
      </c>
    </row>
    <row r="18">
      <c r="A18" s="9" t="inlineStr">
        <is>
          <t>Cómo se cuenta: cada historia suma una sola vez, a nombre de su responsable (la persona asignada en GitHub). Quién hizo el backend y quién la app figura en la hoja Historias.</t>
        </is>
      </c>
    </row>
    <row r="19">
      <c r="A19" s="9" t="inlineStr">
        <is>
          <t>Las issues 57 a 60 del backlog son la parte de app de historias que ya figuran (retweet, guardados, seguir y hashtags), por eso no se suman aparte.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9" customWidth="1" min="3" max="3"/>
    <col width="38" customWidth="1" min="4" max="4"/>
    <col width="12" customWidth="1" min="5" max="5"/>
    <col width="8" customWidth="1" min="6" max="6"/>
    <col width="26" customWidth="1" min="7" max="7"/>
    <col width="20" customWidth="1" min="8" max="8"/>
    <col width="30" customWidth="1" min="9" max="9"/>
    <col width="24" customWidth="1" min="10" max="10"/>
    <col width="34" customWidth="1" min="11" max="11"/>
    <col width="8" customWidth="1" min="12" max="12"/>
    <col width="9" customWidth="1" min="13" max="13"/>
    <col width="60" customWidth="1" min="14" max="14"/>
    <col width="9" customWidth="1" min="15" max="15"/>
  </cols>
  <sheetData>
    <row r="1" ht="30" customHeight="1">
      <c r="A1" s="3" t="inlineStr">
        <is>
          <t>Épica</t>
        </is>
      </c>
      <c r="B1" s="3" t="inlineStr">
        <is>
          <t>Nombre de la épica</t>
        </is>
      </c>
      <c r="C1" s="3" t="inlineStr">
        <is>
          <t>Historia</t>
        </is>
      </c>
      <c r="D1" s="3" t="inlineStr">
        <is>
          <t>Título</t>
        </is>
      </c>
      <c r="E1" s="3" t="inlineStr">
        <is>
          <t>Tipo</t>
        </is>
      </c>
      <c r="F1" s="3" t="inlineStr">
        <is>
          <t>Puntos</t>
        </is>
      </c>
      <c r="G1" s="3" t="inlineStr">
        <is>
          <t>Estado</t>
        </is>
      </c>
      <c r="H1" s="3" t="inlineStr">
        <is>
          <t>Responsable</t>
        </is>
      </c>
      <c r="I1" s="3" t="inlineStr">
        <is>
          <t>Backend</t>
        </is>
      </c>
      <c r="J1" s="3" t="inlineStr">
        <is>
          <t>App mobile</t>
        </is>
      </c>
      <c r="K1" s="3" t="inlineStr">
        <is>
          <t>Pull requests</t>
        </is>
      </c>
      <c r="L1" s="3" t="inlineStr">
        <is>
          <t>Issue</t>
        </is>
      </c>
      <c r="M1" s="3" t="inlineStr">
        <is>
          <t>Issue cerrada</t>
        </is>
      </c>
      <c r="N1" s="3" t="inlineStr">
        <is>
          <t>Pendiente o aclaración</t>
        </is>
      </c>
      <c r="O1" s="3" t="inlineStr">
        <is>
          <t>Puntos hechos</t>
        </is>
      </c>
    </row>
    <row r="2">
      <c r="A2" s="10" t="inlineStr">
        <is>
          <t>E.1</t>
        </is>
      </c>
      <c r="B2" s="10" t="inlineStr">
        <is>
          <t>Usuarios</t>
        </is>
      </c>
      <c r="C2" s="10" t="inlineStr">
        <is>
          <t>H1</t>
        </is>
      </c>
      <c r="D2" s="10" t="inlineStr">
        <is>
          <t>Registro de Usuarios</t>
        </is>
      </c>
      <c r="E2" s="10" t="inlineStr">
        <is>
          <t>Obligatoria</t>
        </is>
      </c>
      <c r="F2" s="10" t="n">
        <v>3</v>
      </c>
      <c r="G2" s="10" t="inlineStr">
        <is>
          <t>Hecha</t>
        </is>
      </c>
      <c r="H2" s="10" t="inlineStr">
        <is>
          <t>Joaquín Szterensus</t>
        </is>
      </c>
      <c r="I2" s="10" t="inlineStr">
        <is>
          <t>Joaquín Szterensus</t>
        </is>
      </c>
      <c r="J2" s="10" t="inlineStr">
        <is>
          <t>Joaquín Szterensus</t>
        </is>
      </c>
      <c r="K2" s="10" t="inlineStr">
        <is>
          <t>auth #1, #3, #14 · mobile #1</t>
        </is>
      </c>
      <c r="L2" s="10" t="inlineStr">
        <is>
          <t>#1</t>
        </is>
      </c>
      <c r="M2" s="10" t="inlineStr">
        <is>
          <t>Sí</t>
        </is>
      </c>
      <c r="N2" s="10" t="inlineStr">
        <is>
          <t>CA.6: la app no tiene el botón para reenviar el mail de verificación (el endpoint ya existe en auth).</t>
        </is>
      </c>
      <c r="O2" s="10">
        <f>IF(LEFT(G2,5)="Hecha",F2,0)</f>
        <v/>
      </c>
    </row>
    <row r="3">
      <c r="A3" s="10" t="inlineStr">
        <is>
          <t>E.1</t>
        </is>
      </c>
      <c r="B3" s="10" t="inlineStr">
        <is>
          <t>Usuarios</t>
        </is>
      </c>
      <c r="C3" s="10" t="inlineStr">
        <is>
          <t>H2</t>
        </is>
      </c>
      <c r="D3" s="10" t="inlineStr">
        <is>
          <t>Inicio de Sesión</t>
        </is>
      </c>
      <c r="E3" s="10" t="inlineStr">
        <is>
          <t>Obligatoria</t>
        </is>
      </c>
      <c r="F3" s="10" t="n">
        <v>3</v>
      </c>
      <c r="G3" s="10" t="inlineStr">
        <is>
          <t>Hecha</t>
        </is>
      </c>
      <c r="H3" s="10" t="inlineStr">
        <is>
          <t>Santino Domato</t>
        </is>
      </c>
      <c r="I3" s="10" t="inlineStr">
        <is>
          <t>Santino Domato</t>
        </is>
      </c>
      <c r="J3" s="10" t="inlineStr">
        <is>
          <t>Joaquín Szterensus</t>
        </is>
      </c>
      <c r="K3" s="10" t="inlineStr">
        <is>
          <t>auth #2, #8</t>
        </is>
      </c>
      <c r="L3" s="10" t="inlineStr">
        <is>
          <t>#2</t>
        </is>
      </c>
      <c r="M3" s="10" t="inlineStr">
        <is>
          <t>Sí</t>
        </is>
      </c>
      <c r="N3" s="10" t="inlineStr"/>
      <c r="O3" s="10">
        <f>IF(LEFT(G3,5)="Hecha",F3,0)</f>
        <v/>
      </c>
    </row>
    <row r="4">
      <c r="A4" s="10" t="inlineStr">
        <is>
          <t>E.1</t>
        </is>
      </c>
      <c r="B4" s="10" t="inlineStr">
        <is>
          <t>Usuarios</t>
        </is>
      </c>
      <c r="C4" s="10" t="inlineStr">
        <is>
          <t>H3</t>
        </is>
      </c>
      <c r="D4" s="10" t="inlineStr">
        <is>
          <t>Cierre de Sesión</t>
        </is>
      </c>
      <c r="E4" s="10" t="inlineStr">
        <is>
          <t>Obligatoria</t>
        </is>
      </c>
      <c r="F4" s="10" t="n">
        <v>1</v>
      </c>
      <c r="G4" s="10" t="inlineStr">
        <is>
          <t>Hecha</t>
        </is>
      </c>
      <c r="H4" s="10" t="inlineStr">
        <is>
          <t>Joaquín Szterensus</t>
        </is>
      </c>
      <c r="I4" s="10" t="inlineStr">
        <is>
          <t>Joaquín Szterensus</t>
        </is>
      </c>
      <c r="J4" s="10" t="inlineStr">
        <is>
          <t>Joaquín Szterensus</t>
        </is>
      </c>
      <c r="K4" s="10" t="inlineStr">
        <is>
          <t>auth #9 · mobile #2</t>
        </is>
      </c>
      <c r="L4" s="10" t="inlineStr">
        <is>
          <t>#3</t>
        </is>
      </c>
      <c r="M4" s="10" t="inlineStr">
        <is>
          <t>Sí</t>
        </is>
      </c>
      <c r="N4" s="10" t="inlineStr"/>
      <c r="O4" s="10">
        <f>IF(LEFT(G4,5)="Hecha",F4,0)</f>
        <v/>
      </c>
    </row>
    <row r="5">
      <c r="A5" s="10" t="inlineStr">
        <is>
          <t>E.1</t>
        </is>
      </c>
      <c r="B5" s="10" t="inlineStr">
        <is>
          <t>Usuarios</t>
        </is>
      </c>
      <c r="C5" s="10" t="inlineStr">
        <is>
          <t>H4</t>
        </is>
      </c>
      <c r="D5" s="10" t="inlineStr">
        <is>
          <t>Eliminación de Cuenta</t>
        </is>
      </c>
      <c r="E5" s="10" t="inlineStr">
        <is>
          <t>Obligatoria</t>
        </is>
      </c>
      <c r="F5" s="10" t="n">
        <v>3</v>
      </c>
      <c r="G5" s="10" t="inlineStr">
        <is>
          <t>Hecha</t>
        </is>
      </c>
      <c r="H5" s="10" t="inlineStr">
        <is>
          <t>Facundo Vulcano</t>
        </is>
      </c>
      <c r="I5" s="10" t="inlineStr">
        <is>
          <t>Facundo Vulcano</t>
        </is>
      </c>
      <c r="J5" s="10" t="inlineStr">
        <is>
          <t>Joaquín Szterensus</t>
        </is>
      </c>
      <c r="K5" s="10" t="inlineStr">
        <is>
          <t>auth #5</t>
        </is>
      </c>
      <c r="L5" s="10" t="inlineStr">
        <is>
          <t>#4</t>
        </is>
      </c>
      <c r="M5" s="10" t="inlineStr">
        <is>
          <t>Sí</t>
        </is>
      </c>
      <c r="N5" s="10" t="inlineStr">
        <is>
          <t>CA.2: los follows del usuario borrado siguen en social. CA.5: sus respuestas desaparecen del hilo en vez de mostrar "[Usuario eliminado]". Ambos dependen de la cola de eventos.</t>
        </is>
      </c>
      <c r="O5" s="10">
        <f>IF(LEFT(G5,5)="Hecha",F5,0)</f>
        <v/>
      </c>
    </row>
    <row r="6">
      <c r="A6" s="10" t="inlineStr">
        <is>
          <t>E.1</t>
        </is>
      </c>
      <c r="B6" s="10" t="inlineStr">
        <is>
          <t>Usuarios</t>
        </is>
      </c>
      <c r="C6" s="10" t="inlineStr">
        <is>
          <t>H5</t>
        </is>
      </c>
      <c r="D6" s="10" t="inlineStr">
        <is>
          <t>Olvidé Mi Contraseña</t>
        </is>
      </c>
      <c r="E6" s="10" t="inlineStr">
        <is>
          <t>Obligatoria</t>
        </is>
      </c>
      <c r="F6" s="10" t="n">
        <v>3</v>
      </c>
      <c r="G6" s="10" t="inlineStr">
        <is>
          <t>Hecha</t>
        </is>
      </c>
      <c r="H6" s="10" t="inlineStr">
        <is>
          <t>Tomás Díaz</t>
        </is>
      </c>
      <c r="I6" s="10" t="inlineStr">
        <is>
          <t>Tomás Díaz, Joaquín Szterensus</t>
        </is>
      </c>
      <c r="J6" s="10" t="inlineStr">
        <is>
          <t>Joaquín Szterensus</t>
        </is>
      </c>
      <c r="K6" s="10" t="inlineStr">
        <is>
          <t>auth #6, #7 · mobile #1</t>
        </is>
      </c>
      <c r="L6" s="10" t="inlineStr">
        <is>
          <t>#5</t>
        </is>
      </c>
      <c r="M6" s="10" t="inlineStr">
        <is>
          <t>Sí</t>
        </is>
      </c>
      <c r="N6" s="10" t="inlineStr"/>
      <c r="O6" s="10">
        <f>IF(LEFT(G6,5)="Hecha",F6,0)</f>
        <v/>
      </c>
    </row>
    <row r="7">
      <c r="A7" s="10" t="inlineStr">
        <is>
          <t>E.1</t>
        </is>
      </c>
      <c r="B7" s="10" t="inlineStr">
        <is>
          <t>Usuarios</t>
        </is>
      </c>
      <c r="C7" s="10" t="inlineStr">
        <is>
          <t>H6</t>
        </is>
      </c>
      <c r="D7" s="10" t="inlineStr">
        <is>
          <t>Editar mi perfil</t>
        </is>
      </c>
      <c r="E7" s="10" t="inlineStr">
        <is>
          <t>Obligatoria</t>
        </is>
      </c>
      <c r="F7" s="10" t="n">
        <v>2</v>
      </c>
      <c r="G7" s="10" t="inlineStr">
        <is>
          <t>Hecha</t>
        </is>
      </c>
      <c r="H7" s="10" t="inlineStr">
        <is>
          <t>Facundo Vulcano</t>
        </is>
      </c>
      <c r="I7" s="10" t="inlineStr">
        <is>
          <t>Facundo Vulcano</t>
        </is>
      </c>
      <c r="J7" s="10" t="inlineStr">
        <is>
          <t>Joaquín Szterensus</t>
        </is>
      </c>
      <c r="K7" s="10" t="inlineStr">
        <is>
          <t>auth #11</t>
        </is>
      </c>
      <c r="L7" s="10" t="inlineStr">
        <is>
          <t>#6</t>
        </is>
      </c>
      <c r="M7" s="10" t="inlineStr">
        <is>
          <t>Sí</t>
        </is>
      </c>
      <c r="N7" s="10" t="inlineStr"/>
      <c r="O7" s="10">
        <f>IF(LEFT(G7,5)="Hecha",F7,0)</f>
        <v/>
      </c>
    </row>
    <row r="8">
      <c r="A8" s="10" t="inlineStr">
        <is>
          <t>E.1</t>
        </is>
      </c>
      <c r="B8" s="10" t="inlineStr">
        <is>
          <t>Usuarios</t>
        </is>
      </c>
      <c r="C8" s="10" t="inlineStr">
        <is>
          <t>H7</t>
        </is>
      </c>
      <c r="D8" s="10" t="inlineStr">
        <is>
          <t>Preferencias</t>
        </is>
      </c>
      <c r="E8" s="10" t="inlineStr">
        <is>
          <t>Optativa</t>
        </is>
      </c>
      <c r="F8" s="10" t="n">
        <v>2</v>
      </c>
      <c r="G8" s="10" t="inlineStr">
        <is>
          <t>Hecha</t>
        </is>
      </c>
      <c r="H8" s="10" t="inlineStr">
        <is>
          <t>Tomás Díaz</t>
        </is>
      </c>
      <c r="I8" s="10" t="inlineStr">
        <is>
          <t>Tomás Díaz</t>
        </is>
      </c>
      <c r="J8" s="10" t="inlineStr">
        <is>
          <t>Tomás Díaz, Joaquín Szterensus</t>
        </is>
      </c>
      <c r="K8" s="10" t="inlineStr">
        <is>
          <t>auth #13</t>
        </is>
      </c>
      <c r="L8" s="10" t="inlineStr">
        <is>
          <t>#7</t>
        </is>
      </c>
      <c r="M8" s="10" t="inlineStr">
        <is>
          <t>Sí</t>
        </is>
      </c>
      <c r="N8" s="10" t="inlineStr"/>
      <c r="O8" s="10">
        <f>IF(LEFT(G8,5)="Hecha",F8,0)</f>
        <v/>
      </c>
    </row>
    <row r="9">
      <c r="A9" s="10" t="inlineStr">
        <is>
          <t>E.1</t>
        </is>
      </c>
      <c r="B9" s="10" t="inlineStr">
        <is>
          <t>Usuarios</t>
        </is>
      </c>
      <c r="C9" s="10" t="inlineStr">
        <is>
          <t>H8</t>
        </is>
      </c>
      <c r="D9" s="10" t="inlineStr">
        <is>
          <t>Foto de Perfil</t>
        </is>
      </c>
      <c r="E9" s="10" t="inlineStr">
        <is>
          <t>Optativa</t>
        </is>
      </c>
      <c r="F9" s="10" t="n">
        <v>3</v>
      </c>
      <c r="G9" s="10" t="inlineStr">
        <is>
          <t>Asignada</t>
        </is>
      </c>
      <c r="H9" s="10" t="inlineStr">
        <is>
          <t>Tomás Díaz</t>
        </is>
      </c>
      <c r="I9" s="10" t="inlineStr"/>
      <c r="J9" s="10" t="inlineStr"/>
      <c r="K9" s="10" t="inlineStr"/>
      <c r="L9" s="10" t="inlineStr">
        <is>
          <t>#8</t>
        </is>
      </c>
      <c r="M9" s="10" t="inlineStr">
        <is>
          <t>No</t>
        </is>
      </c>
      <c r="N9" s="10" t="inlineStr"/>
      <c r="O9" s="10">
        <f>IF(LEFT(G9,5)="Hecha",F9,0)</f>
        <v/>
      </c>
    </row>
    <row r="10">
      <c r="A10" s="10" t="inlineStr">
        <is>
          <t>E.1</t>
        </is>
      </c>
      <c r="B10" s="10" t="inlineStr">
        <is>
          <t>Usuarios</t>
        </is>
      </c>
      <c r="C10" s="10" t="inlineStr">
        <is>
          <t>H9</t>
        </is>
      </c>
      <c r="D10" s="10" t="inlineStr">
        <is>
          <t>Social Login</t>
        </is>
      </c>
      <c r="E10" s="10" t="inlineStr">
        <is>
          <t>Optativa</t>
        </is>
      </c>
      <c r="F10" s="10" t="n">
        <v>5</v>
      </c>
      <c r="G10" s="10" t="inlineStr">
        <is>
          <t>Sin asignar</t>
        </is>
      </c>
      <c r="H10" s="10" t="inlineStr"/>
      <c r="I10" s="10" t="inlineStr"/>
      <c r="J10" s="10" t="inlineStr"/>
      <c r="K10" s="10" t="inlineStr"/>
      <c r="L10" s="10" t="inlineStr">
        <is>
          <t>#9</t>
        </is>
      </c>
      <c r="M10" s="10" t="inlineStr">
        <is>
          <t>No</t>
        </is>
      </c>
      <c r="N10" s="10" t="inlineStr"/>
      <c r="O10" s="10">
        <f>IF(LEFT(G10,5)="Hecha",F10,0)</f>
        <v/>
      </c>
    </row>
    <row r="11">
      <c r="A11" s="10" t="inlineStr">
        <is>
          <t>E.1</t>
        </is>
      </c>
      <c r="B11" s="10" t="inlineStr">
        <is>
          <t>Usuarios</t>
        </is>
      </c>
      <c r="C11" s="10" t="inlineStr">
        <is>
          <t>H10</t>
        </is>
      </c>
      <c r="D11" s="10" t="inlineStr">
        <is>
          <t>Tema de la Aplicación</t>
        </is>
      </c>
      <c r="E11" s="10" t="inlineStr">
        <is>
          <t>Optativa</t>
        </is>
      </c>
      <c r="F11" s="10" t="n">
        <v>1</v>
      </c>
      <c r="G11" s="10" t="inlineStr">
        <is>
          <t>Hecha</t>
        </is>
      </c>
      <c r="H11" s="10" t="inlineStr">
        <is>
          <t>Tomás Díaz</t>
        </is>
      </c>
      <c r="I11" s="10" t="inlineStr"/>
      <c r="J11" s="10" t="inlineStr">
        <is>
          <t>Tomás Díaz</t>
        </is>
      </c>
      <c r="K11" s="10" t="inlineStr">
        <is>
          <t>mobile #5</t>
        </is>
      </c>
      <c r="L11" s="10" t="inlineStr">
        <is>
          <t>#10</t>
        </is>
      </c>
      <c r="M11" s="10" t="inlineStr">
        <is>
          <t>Sí</t>
        </is>
      </c>
      <c r="N11" s="10" t="inlineStr"/>
      <c r="O11" s="10">
        <f>IF(LEFT(G11,5)="Hecha",F11,0)</f>
        <v/>
      </c>
    </row>
    <row r="12">
      <c r="A12" s="10" t="inlineStr">
        <is>
          <t>E.1</t>
        </is>
      </c>
      <c r="B12" s="10" t="inlineStr">
        <is>
          <t>Usuarios</t>
        </is>
      </c>
      <c r="C12" s="10" t="inlineStr">
        <is>
          <t>H11</t>
        </is>
      </c>
      <c r="D12" s="10" t="inlineStr">
        <is>
          <t>Enviar Feedback o Reportar Error</t>
        </is>
      </c>
      <c r="E12" s="10" t="inlineStr">
        <is>
          <t>Optativa</t>
        </is>
      </c>
      <c r="F12" s="10" t="n">
        <v>3</v>
      </c>
      <c r="G12" s="10" t="inlineStr">
        <is>
          <t>Sin asignar</t>
        </is>
      </c>
      <c r="H12" s="10" t="inlineStr"/>
      <c r="I12" s="10" t="inlineStr"/>
      <c r="J12" s="10" t="inlineStr"/>
      <c r="K12" s="10" t="inlineStr"/>
      <c r="L12" s="10" t="inlineStr">
        <is>
          <t>#11</t>
        </is>
      </c>
      <c r="M12" s="10" t="inlineStr">
        <is>
          <t>No</t>
        </is>
      </c>
      <c r="N12" s="10" t="inlineStr"/>
      <c r="O12" s="10">
        <f>IF(LEFT(G12,5)="Hecha",F12,0)</f>
        <v/>
      </c>
    </row>
    <row r="13">
      <c r="A13" s="10" t="inlineStr">
        <is>
          <t>E.1</t>
        </is>
      </c>
      <c r="B13" s="10" t="inlineStr">
        <is>
          <t>Usuarios</t>
        </is>
      </c>
      <c r="C13" s="10" t="inlineStr">
        <is>
          <t>H12</t>
        </is>
      </c>
      <c r="D13" s="10" t="inlineStr">
        <is>
          <t>Aceptación de Términos y Política de Privacidad</t>
        </is>
      </c>
      <c r="E13" s="10" t="inlineStr">
        <is>
          <t>Obligatoria</t>
        </is>
      </c>
      <c r="F13" s="10" t="n">
        <v>1</v>
      </c>
      <c r="G13" s="10" t="inlineStr">
        <is>
          <t>Hecha</t>
        </is>
      </c>
      <c r="H13" s="10" t="inlineStr">
        <is>
          <t>Facundo Vulcano</t>
        </is>
      </c>
      <c r="I13" s="10" t="inlineStr">
        <is>
          <t>Facundo Vulcano</t>
        </is>
      </c>
      <c r="J13" s="10" t="inlineStr">
        <is>
          <t>Joaquín Szterensus</t>
        </is>
      </c>
      <c r="K13" s="10" t="inlineStr">
        <is>
          <t>auth #12</t>
        </is>
      </c>
      <c r="L13" s="10" t="inlineStr">
        <is>
          <t>#12</t>
        </is>
      </c>
      <c r="M13" s="10" t="inlineStr">
        <is>
          <t>Sí</t>
        </is>
      </c>
      <c r="N13" s="10" t="inlineStr">
        <is>
          <t>CA.1: el checkbox del registro no tiene links a los textos y el botón no se deshabilita.</t>
        </is>
      </c>
      <c r="O13" s="10">
        <f>IF(LEFT(G13,5)="Hecha",F13,0)</f>
        <v/>
      </c>
    </row>
    <row r="14">
      <c r="A14" s="10" t="inlineStr">
        <is>
          <t>E.1</t>
        </is>
      </c>
      <c r="B14" s="10" t="inlineStr">
        <is>
          <t>Usuarios</t>
        </is>
      </c>
      <c r="C14" s="10" t="inlineStr">
        <is>
          <t>H13</t>
        </is>
      </c>
      <c r="D14" s="10" t="inlineStr">
        <is>
          <t>Cambiar Contraseña</t>
        </is>
      </c>
      <c r="E14" s="10" t="inlineStr">
        <is>
          <t>Optativa</t>
        </is>
      </c>
      <c r="F14" s="10" t="n">
        <v>3</v>
      </c>
      <c r="G14" s="10" t="inlineStr">
        <is>
          <t>Hecha</t>
        </is>
      </c>
      <c r="H14" s="10" t="inlineStr">
        <is>
          <t>Santino Domato</t>
        </is>
      </c>
      <c r="I14" s="10" t="inlineStr">
        <is>
          <t>Santino Domato</t>
        </is>
      </c>
      <c r="J14" s="10" t="inlineStr">
        <is>
          <t>Joaquín Szterensus</t>
        </is>
      </c>
      <c r="K14" s="10" t="inlineStr">
        <is>
          <t>auth #10</t>
        </is>
      </c>
      <c r="L14" s="10" t="inlineStr">
        <is>
          <t>#13</t>
        </is>
      </c>
      <c r="M14" s="10" t="inlineStr">
        <is>
          <t>Sí</t>
        </is>
      </c>
      <c r="N14" s="10" t="inlineStr"/>
      <c r="O14" s="10">
        <f>IF(LEFT(G14,5)="Hecha",F14,0)</f>
        <v/>
      </c>
    </row>
    <row r="15">
      <c r="A15" s="10" t="inlineStr">
        <is>
          <t>E.1</t>
        </is>
      </c>
      <c r="B15" s="10" t="inlineStr">
        <is>
          <t>Usuarios</t>
        </is>
      </c>
      <c r="C15" s="10" t="inlineStr">
        <is>
          <t>H14</t>
        </is>
      </c>
      <c r="D15" s="10" t="inlineStr">
        <is>
          <t>Onboarding Inicial</t>
        </is>
      </c>
      <c r="E15" s="10" t="inlineStr">
        <is>
          <t>Optativa</t>
        </is>
      </c>
      <c r="F15" s="10" t="n">
        <v>3</v>
      </c>
      <c r="G15" s="10" t="inlineStr">
        <is>
          <t>Sin asignar</t>
        </is>
      </c>
      <c r="H15" s="10" t="inlineStr"/>
      <c r="I15" s="10" t="inlineStr"/>
      <c r="J15" s="10" t="inlineStr"/>
      <c r="K15" s="10" t="inlineStr"/>
      <c r="L15" s="10" t="inlineStr">
        <is>
          <t>#14</t>
        </is>
      </c>
      <c r="M15" s="10" t="inlineStr">
        <is>
          <t>No</t>
        </is>
      </c>
      <c r="N15" s="10" t="inlineStr"/>
      <c r="O15" s="10">
        <f>IF(LEFT(G15,5)="Hecha",F15,0)</f>
        <v/>
      </c>
    </row>
    <row r="16">
      <c r="A16" s="10" t="inlineStr">
        <is>
          <t>E.2</t>
        </is>
      </c>
      <c r="B16" s="10" t="inlineStr">
        <is>
          <t>Publicaciones</t>
        </is>
      </c>
      <c r="C16" s="10" t="inlineStr">
        <is>
          <t>H1</t>
        </is>
      </c>
      <c r="D16" s="10" t="inlineStr">
        <is>
          <t>Crear Post (Tweet)</t>
        </is>
      </c>
      <c r="E16" s="10" t="inlineStr">
        <is>
          <t>Obligatoria</t>
        </is>
      </c>
      <c r="F16" s="10" t="n">
        <v>3</v>
      </c>
      <c r="G16" s="10" t="inlineStr">
        <is>
          <t>Hecha</t>
        </is>
      </c>
      <c r="H16" s="10" t="inlineStr">
        <is>
          <t>Joaquín Szterensus</t>
        </is>
      </c>
      <c r="I16" s="10" t="inlineStr">
        <is>
          <t>Joaquín Szterensus</t>
        </is>
      </c>
      <c r="J16" s="10" t="inlineStr">
        <is>
          <t>Joaquín Szterensus</t>
        </is>
      </c>
      <c r="K16" s="10" t="inlineStr">
        <is>
          <t>posts #1</t>
        </is>
      </c>
      <c r="L16" s="10" t="inlineStr">
        <is>
          <t>#15</t>
        </is>
      </c>
      <c r="M16" s="10" t="inlineStr">
        <is>
          <t>Sí</t>
        </is>
      </c>
      <c r="N16" s="10" t="inlineStr"/>
      <c r="O16" s="10">
        <f>IF(LEFT(G16,5)="Hecha",F16,0)</f>
        <v/>
      </c>
    </row>
    <row r="17">
      <c r="A17" s="10" t="inlineStr">
        <is>
          <t>E.2</t>
        </is>
      </c>
      <c r="B17" s="10" t="inlineStr">
        <is>
          <t>Publicaciones</t>
        </is>
      </c>
      <c r="C17" s="10" t="inlineStr">
        <is>
          <t>H2</t>
        </is>
      </c>
      <c r="D17" s="10" t="inlineStr">
        <is>
          <t>Feed Principal (Timeline)</t>
        </is>
      </c>
      <c r="E17" s="10" t="inlineStr">
        <is>
          <t>Obligatoria</t>
        </is>
      </c>
      <c r="F17" s="10" t="n">
        <v>3</v>
      </c>
      <c r="G17" s="10" t="inlineStr">
        <is>
          <t>Hecha</t>
        </is>
      </c>
      <c r="H17" s="10" t="inlineStr">
        <is>
          <t>Santino Domato</t>
        </is>
      </c>
      <c r="I17" s="10" t="inlineStr">
        <is>
          <t>Santino Domato (posts, auth, social)</t>
        </is>
      </c>
      <c r="J17" s="10" t="inlineStr">
        <is>
          <t>Santino Domato</t>
        </is>
      </c>
      <c r="K17" s="10" t="inlineStr">
        <is>
          <t>posts #12 · auth #18 · social #2 · mobile #8</t>
        </is>
      </c>
      <c r="L17" s="10" t="inlineStr">
        <is>
          <t>#16</t>
        </is>
      </c>
      <c r="M17" s="10" t="inlineStr">
        <is>
          <t>Sí</t>
        </is>
      </c>
      <c r="N17" s="10" t="inlineStr">
        <is>
          <t>La issue no tiene responsable asignado en GitHub.</t>
        </is>
      </c>
      <c r="O17" s="10">
        <f>IF(LEFT(G17,5)="Hecha",F17,0)</f>
        <v/>
      </c>
    </row>
    <row r="18">
      <c r="A18" s="10" t="inlineStr">
        <is>
          <t>E.2</t>
        </is>
      </c>
      <c r="B18" s="10" t="inlineStr">
        <is>
          <t>Publicaciones</t>
        </is>
      </c>
      <c r="C18" s="10" t="inlineStr">
        <is>
          <t>H3</t>
        </is>
      </c>
      <c r="D18" s="10" t="inlineStr">
        <is>
          <t>Eliminar Post</t>
        </is>
      </c>
      <c r="E18" s="10" t="inlineStr">
        <is>
          <t>Obligatoria</t>
        </is>
      </c>
      <c r="F18" s="10" t="n">
        <v>2</v>
      </c>
      <c r="G18" s="10" t="inlineStr">
        <is>
          <t>Hecha</t>
        </is>
      </c>
      <c r="H18" s="10" t="inlineStr">
        <is>
          <t>Santino Domato</t>
        </is>
      </c>
      <c r="I18" s="10" t="inlineStr">
        <is>
          <t>Santino Domato</t>
        </is>
      </c>
      <c r="J18" s="10" t="inlineStr">
        <is>
          <t>Santino Domato</t>
        </is>
      </c>
      <c r="K18" s="10" t="inlineStr">
        <is>
          <t>posts #3, #9 · mobile #6</t>
        </is>
      </c>
      <c r="L18" s="10" t="inlineStr">
        <is>
          <t>#17</t>
        </is>
      </c>
      <c r="M18" s="10" t="inlineStr">
        <is>
          <t>Sí</t>
        </is>
      </c>
      <c r="N18" s="10" t="inlineStr"/>
      <c r="O18" s="10">
        <f>IF(LEFT(G18,5)="Hecha",F18,0)</f>
        <v/>
      </c>
    </row>
    <row r="19">
      <c r="A19" s="10" t="inlineStr">
        <is>
          <t>E.2</t>
        </is>
      </c>
      <c r="B19" s="10" t="inlineStr">
        <is>
          <t>Publicaciones</t>
        </is>
      </c>
      <c r="C19" s="10" t="inlineStr">
        <is>
          <t>H4</t>
        </is>
      </c>
      <c r="D19" s="10" t="inlineStr">
        <is>
          <t>Responder a un Post</t>
        </is>
      </c>
      <c r="E19" s="10" t="inlineStr">
        <is>
          <t>Obligatoria</t>
        </is>
      </c>
      <c r="F19" s="10" t="n">
        <v>2</v>
      </c>
      <c r="G19" s="10" t="inlineStr">
        <is>
          <t>Hecha (falta cerrar la issue)</t>
        </is>
      </c>
      <c r="H19" s="10" t="inlineStr">
        <is>
          <t>Joaquín Szterensus</t>
        </is>
      </c>
      <c r="I19" s="10" t="inlineStr">
        <is>
          <t>Joaquín Szterensus</t>
        </is>
      </c>
      <c r="J19" s="10" t="inlineStr">
        <is>
          <t>Joaquín Szterensus</t>
        </is>
      </c>
      <c r="K19" s="10" t="inlineStr">
        <is>
          <t>posts #5 · mobile #4</t>
        </is>
      </c>
      <c r="L19" s="10" t="inlineStr">
        <is>
          <t>#18</t>
        </is>
      </c>
      <c r="M19" s="10" t="inlineStr">
        <is>
          <t>No</t>
        </is>
      </c>
      <c r="N19" s="10" t="inlineStr">
        <is>
          <t>Implementada y mergeada; falta cerrar la issue.</t>
        </is>
      </c>
      <c r="O19" s="10">
        <f>IF(LEFT(G19,5)="Hecha",F19,0)</f>
        <v/>
      </c>
    </row>
    <row r="20">
      <c r="A20" s="10" t="inlineStr">
        <is>
          <t>E.2</t>
        </is>
      </c>
      <c r="B20" s="10" t="inlineStr">
        <is>
          <t>Publicaciones</t>
        </is>
      </c>
      <c r="C20" s="10" t="inlineStr">
        <is>
          <t>H5</t>
        </is>
      </c>
      <c r="D20" s="10" t="inlineStr">
        <is>
          <t>Retweet / Repost</t>
        </is>
      </c>
      <c r="E20" s="10" t="inlineStr">
        <is>
          <t>Obligatoria</t>
        </is>
      </c>
      <c r="F20" s="10" t="n">
        <v>2</v>
      </c>
      <c r="G20" s="10" t="inlineStr">
        <is>
          <t>Hecha (falta cerrar la issue)</t>
        </is>
      </c>
      <c r="H20" s="10" t="inlineStr">
        <is>
          <t>Santino Domato</t>
        </is>
      </c>
      <c r="I20" s="10" t="inlineStr">
        <is>
          <t>Santino Domato, Facundo Vulcano</t>
        </is>
      </c>
      <c r="J20" s="10" t="inlineStr">
        <is>
          <t>Facundo Vulcano</t>
        </is>
      </c>
      <c r="K20" s="10" t="inlineStr">
        <is>
          <t>posts #3, #14, #16 · mobile #9, #13</t>
        </is>
      </c>
      <c r="L20" s="10" t="inlineStr">
        <is>
          <t>#19</t>
        </is>
      </c>
      <c r="M20" s="10" t="inlineStr">
        <is>
          <t>No</t>
        </is>
      </c>
      <c r="N20" s="10" t="inlineStr">
        <is>
          <t>Implementada y mergeada; falta cerrar la issue. CA.3 pide que el retweet desaparezca del perfil, pero la pantalla de perfil (E.2 H14) no existe todavía.</t>
        </is>
      </c>
      <c r="O20" s="10">
        <f>IF(LEFT(G20,5)="Hecha",F20,0)</f>
        <v/>
      </c>
    </row>
    <row r="21">
      <c r="A21" s="10" t="inlineStr">
        <is>
          <t>E.2</t>
        </is>
      </c>
      <c r="B21" s="10" t="inlineStr">
        <is>
          <t>Publicaciones</t>
        </is>
      </c>
      <c r="C21" s="10" t="inlineStr">
        <is>
          <t>H6</t>
        </is>
      </c>
      <c r="D21" s="10" t="inlineStr">
        <is>
          <t>Like a un Post</t>
        </is>
      </c>
      <c r="E21" s="10" t="inlineStr">
        <is>
          <t>Obligatoria</t>
        </is>
      </c>
      <c r="F21" s="10" t="n">
        <v>2</v>
      </c>
      <c r="G21" s="10" t="inlineStr">
        <is>
          <t>Hecha</t>
        </is>
      </c>
      <c r="H21" s="10" t="inlineStr">
        <is>
          <t>Joaquín Szterensus</t>
        </is>
      </c>
      <c r="I21" s="10" t="inlineStr">
        <is>
          <t>Joaquín Szterensus</t>
        </is>
      </c>
      <c r="J21" s="10" t="inlineStr">
        <is>
          <t>Joaquín Szterensus</t>
        </is>
      </c>
      <c r="K21" s="10" t="inlineStr">
        <is>
          <t>posts #4 · mobile #3</t>
        </is>
      </c>
      <c r="L21" s="10" t="inlineStr">
        <is>
          <t>#20</t>
        </is>
      </c>
      <c r="M21" s="10" t="inlineStr">
        <is>
          <t>Sí</t>
        </is>
      </c>
      <c r="N21" s="10" t="inlineStr"/>
      <c r="O21" s="10">
        <f>IF(LEFT(G21,5)="Hecha",F21,0)</f>
        <v/>
      </c>
    </row>
    <row r="22">
      <c r="A22" s="10" t="inlineStr">
        <is>
          <t>E.2</t>
        </is>
      </c>
      <c r="B22" s="10" t="inlineStr">
        <is>
          <t>Publicaciones</t>
        </is>
      </c>
      <c r="C22" s="10" t="inlineStr">
        <is>
          <t>H7</t>
        </is>
      </c>
      <c r="D22" s="10" t="inlineStr">
        <is>
          <t>Post con Imagen</t>
        </is>
      </c>
      <c r="E22" s="10" t="inlineStr">
        <is>
          <t>Obligatoria</t>
        </is>
      </c>
      <c r="F22" s="10" t="n">
        <v>5</v>
      </c>
      <c r="G22" s="10" t="inlineStr">
        <is>
          <t>En curso</t>
        </is>
      </c>
      <c r="H22" s="10" t="inlineStr">
        <is>
          <t>Tomás Díaz</t>
        </is>
      </c>
      <c r="I22" s="10" t="inlineStr">
        <is>
          <t>Tomás Díaz</t>
        </is>
      </c>
      <c r="J22" s="10" t="inlineStr">
        <is>
          <t>Tomás Díaz</t>
        </is>
      </c>
      <c r="K22" s="10" t="inlineStr">
        <is>
          <t>posts #10 · media #1 · mobile #7 (abiertos)</t>
        </is>
      </c>
      <c r="L22" s="10" t="inlineStr">
        <is>
          <t>#21</t>
        </is>
      </c>
      <c r="M22" s="10" t="inlineStr">
        <is>
          <t>No</t>
        </is>
      </c>
      <c r="N22" s="10" t="inlineStr">
        <is>
          <t>En curso: pull requests abiertos.</t>
        </is>
      </c>
      <c r="O22" s="10">
        <f>IF(LEFT(G22,5)="Hecha",F22,0)</f>
        <v/>
      </c>
    </row>
    <row r="23">
      <c r="A23" s="10" t="inlineStr">
        <is>
          <t>E.2</t>
        </is>
      </c>
      <c r="B23" s="10" t="inlineStr">
        <is>
          <t>Publicaciones</t>
        </is>
      </c>
      <c r="C23" s="10" t="inlineStr">
        <is>
          <t>H8</t>
        </is>
      </c>
      <c r="D23" s="10" t="inlineStr">
        <is>
          <t>Hashtags</t>
        </is>
      </c>
      <c r="E23" s="10" t="inlineStr">
        <is>
          <t>Optativa</t>
        </is>
      </c>
      <c r="F23" s="10" t="n">
        <v>3</v>
      </c>
      <c r="G23" s="10" t="inlineStr">
        <is>
          <t>Hecha</t>
        </is>
      </c>
      <c r="H23" s="10" t="inlineStr">
        <is>
          <t>Facundo Vulcano</t>
        </is>
      </c>
      <c r="I23" s="10" t="inlineStr">
        <is>
          <t>Facundo Vulcano</t>
        </is>
      </c>
      <c r="J23" s="10" t="inlineStr">
        <is>
          <t>Facundo Vulcano</t>
        </is>
      </c>
      <c r="K23" s="10" t="inlineStr">
        <is>
          <t>posts #11 · mobile #11</t>
        </is>
      </c>
      <c r="L23" s="10" t="inlineStr">
        <is>
          <t>#22</t>
        </is>
      </c>
      <c r="M23" s="10" t="inlineStr">
        <is>
          <t>Sí</t>
        </is>
      </c>
      <c r="N23" s="10" t="inlineStr"/>
      <c r="O23" s="10">
        <f>IF(LEFT(G23,5)="Hecha",F23,0)</f>
        <v/>
      </c>
    </row>
    <row r="24">
      <c r="A24" s="10" t="inlineStr">
        <is>
          <t>E.2</t>
        </is>
      </c>
      <c r="B24" s="10" t="inlineStr">
        <is>
          <t>Publicaciones</t>
        </is>
      </c>
      <c r="C24" s="10" t="inlineStr">
        <is>
          <t>H9</t>
        </is>
      </c>
      <c r="D24" s="10" t="inlineStr">
        <is>
          <t>Menciones a Usuarios</t>
        </is>
      </c>
      <c r="E24" s="10" t="inlineStr">
        <is>
          <t>Optativa</t>
        </is>
      </c>
      <c r="F24" s="10" t="n">
        <v>3</v>
      </c>
      <c r="G24" s="10" t="inlineStr">
        <is>
          <t>Sin asignar</t>
        </is>
      </c>
      <c r="H24" s="10" t="inlineStr"/>
      <c r="I24" s="10" t="inlineStr"/>
      <c r="J24" s="10" t="inlineStr"/>
      <c r="K24" s="10" t="inlineStr"/>
      <c r="L24" s="10" t="inlineStr">
        <is>
          <t>#23</t>
        </is>
      </c>
      <c r="M24" s="10" t="inlineStr">
        <is>
          <t>No</t>
        </is>
      </c>
      <c r="N24" s="10" t="inlineStr"/>
      <c r="O24" s="10">
        <f>IF(LEFT(G24,5)="Hecha",F24,0)</f>
        <v/>
      </c>
    </row>
    <row r="25">
      <c r="A25" s="10" t="inlineStr">
        <is>
          <t>E.2</t>
        </is>
      </c>
      <c r="B25" s="10" t="inlineStr">
        <is>
          <t>Publicaciones</t>
        </is>
      </c>
      <c r="C25" s="10" t="inlineStr">
        <is>
          <t>H10</t>
        </is>
      </c>
      <c r="D25" s="10" t="inlineStr">
        <is>
          <t>Búsqueda de Posts y Usuarios</t>
        </is>
      </c>
      <c r="E25" s="10" t="inlineStr">
        <is>
          <t>Obligatoria</t>
        </is>
      </c>
      <c r="F25" s="10" t="n">
        <v>5</v>
      </c>
      <c r="G25" s="10" t="inlineStr">
        <is>
          <t>Sin asignar</t>
        </is>
      </c>
      <c r="H25" s="10" t="inlineStr"/>
      <c r="I25" s="10" t="inlineStr"/>
      <c r="J25" s="10" t="inlineStr"/>
      <c r="K25" s="10" t="inlineStr"/>
      <c r="L25" s="10" t="inlineStr">
        <is>
          <t>#24</t>
        </is>
      </c>
      <c r="M25" s="10" t="inlineStr">
        <is>
          <t>No</t>
        </is>
      </c>
      <c r="N25" s="10" t="inlineStr"/>
      <c r="O25" s="10">
        <f>IF(LEFT(G25,5)="Hecha",F25,0)</f>
        <v/>
      </c>
    </row>
    <row r="26">
      <c r="A26" s="10" t="inlineStr">
        <is>
          <t>E.2</t>
        </is>
      </c>
      <c r="B26" s="10" t="inlineStr">
        <is>
          <t>Publicaciones</t>
        </is>
      </c>
      <c r="C26" s="10" t="inlineStr">
        <is>
          <t>H11</t>
        </is>
      </c>
      <c r="D26" s="10" t="inlineStr">
        <is>
          <t>Trending Topics</t>
        </is>
      </c>
      <c r="E26" s="10" t="inlineStr">
        <is>
          <t>Optativa</t>
        </is>
      </c>
      <c r="F26" s="10" t="n">
        <v>3</v>
      </c>
      <c r="G26" s="10" t="inlineStr">
        <is>
          <t>Asignada</t>
        </is>
      </c>
      <c r="H26" s="10" t="inlineStr">
        <is>
          <t>Facundo Vulcano</t>
        </is>
      </c>
      <c r="I26" s="10" t="inlineStr"/>
      <c r="J26" s="10" t="inlineStr"/>
      <c r="K26" s="10" t="inlineStr"/>
      <c r="L26" s="10" t="inlineStr">
        <is>
          <t>#25</t>
        </is>
      </c>
      <c r="M26" s="10" t="inlineStr">
        <is>
          <t>No</t>
        </is>
      </c>
      <c r="N26" s="10" t="inlineStr"/>
      <c r="O26" s="10">
        <f>IF(LEFT(G26,5)="Hecha",F26,0)</f>
        <v/>
      </c>
    </row>
    <row r="27">
      <c r="A27" s="10" t="inlineStr">
        <is>
          <t>E.2</t>
        </is>
      </c>
      <c r="B27" s="10" t="inlineStr">
        <is>
          <t>Publicaciones</t>
        </is>
      </c>
      <c r="C27" s="10" t="inlineStr">
        <is>
          <t>H12</t>
        </is>
      </c>
      <c r="D27" s="10" t="inlineStr">
        <is>
          <t>Guardar Posts (Bookmarks)</t>
        </is>
      </c>
      <c r="E27" s="10" t="inlineStr">
        <is>
          <t>Optativa</t>
        </is>
      </c>
      <c r="F27" s="10" t="n">
        <v>3</v>
      </c>
      <c r="G27" s="10" t="inlineStr">
        <is>
          <t>Hecha</t>
        </is>
      </c>
      <c r="H27" s="10" t="inlineStr">
        <is>
          <t>Facundo Vulcano</t>
        </is>
      </c>
      <c r="I27" s="10" t="inlineStr">
        <is>
          <t>Facundo Vulcano</t>
        </is>
      </c>
      <c r="J27" s="10" t="inlineStr">
        <is>
          <t>Facundo Vulcano</t>
        </is>
      </c>
      <c r="K27" s="10" t="inlineStr">
        <is>
          <t>posts #6 · mobile #10, #13</t>
        </is>
      </c>
      <c r="L27" s="10" t="inlineStr">
        <is>
          <t>#26</t>
        </is>
      </c>
      <c r="M27" s="10" t="inlineStr">
        <is>
          <t>Sí</t>
        </is>
      </c>
      <c r="N27" s="10" t="inlineStr"/>
      <c r="O27" s="10">
        <f>IF(LEFT(G27,5)="Hecha",F27,0)</f>
        <v/>
      </c>
    </row>
    <row r="28">
      <c r="A28" s="10" t="inlineStr">
        <is>
          <t>E.2</t>
        </is>
      </c>
      <c r="B28" s="10" t="inlineStr">
        <is>
          <t>Publicaciones</t>
        </is>
      </c>
      <c r="C28" s="10" t="inlineStr">
        <is>
          <t>H13</t>
        </is>
      </c>
      <c r="D28" s="10" t="inlineStr">
        <is>
          <t>Citar Post (Quote Tweet)</t>
        </is>
      </c>
      <c r="E28" s="10" t="inlineStr">
        <is>
          <t>Optativa</t>
        </is>
      </c>
      <c r="F28" s="10" t="n">
        <v>5</v>
      </c>
      <c r="G28" s="10" t="inlineStr">
        <is>
          <t>Sin asignar</t>
        </is>
      </c>
      <c r="H28" s="10" t="inlineStr"/>
      <c r="I28" s="10" t="inlineStr"/>
      <c r="J28" s="10" t="inlineStr"/>
      <c r="K28" s="10" t="inlineStr"/>
      <c r="L28" s="10" t="inlineStr">
        <is>
          <t>#27</t>
        </is>
      </c>
      <c r="M28" s="10" t="inlineStr">
        <is>
          <t>No</t>
        </is>
      </c>
      <c r="N28" s="10" t="inlineStr"/>
      <c r="O28" s="10">
        <f>IF(LEFT(G28,5)="Hecha",F28,0)</f>
        <v/>
      </c>
    </row>
    <row r="29">
      <c r="A29" s="10" t="inlineStr">
        <is>
          <t>E.2</t>
        </is>
      </c>
      <c r="B29" s="10" t="inlineStr">
        <is>
          <t>Publicaciones</t>
        </is>
      </c>
      <c r="C29" s="10" t="inlineStr">
        <is>
          <t>H14</t>
        </is>
      </c>
      <c r="D29" s="10" t="inlineStr">
        <is>
          <t>Visualización de Perfil de Usuario</t>
        </is>
      </c>
      <c r="E29" s="10" t="inlineStr">
        <is>
          <t>Obligatoria</t>
        </is>
      </c>
      <c r="F29" s="10" t="n">
        <v>3</v>
      </c>
      <c r="G29" s="10" t="inlineStr">
        <is>
          <t>Sin asignar</t>
        </is>
      </c>
      <c r="H29" s="10" t="inlineStr"/>
      <c r="I29" s="10" t="inlineStr"/>
      <c r="J29" s="10" t="inlineStr"/>
      <c r="K29" s="10" t="inlineStr"/>
      <c r="L29" s="10" t="inlineStr">
        <is>
          <t>#28</t>
        </is>
      </c>
      <c r="M29" s="10" t="inlineStr">
        <is>
          <t>No</t>
        </is>
      </c>
      <c r="N29" s="10" t="inlineStr"/>
      <c r="O29" s="10">
        <f>IF(LEFT(G29,5)="Hecha",F29,0)</f>
        <v/>
      </c>
    </row>
    <row r="30">
      <c r="A30" s="10" t="inlineStr">
        <is>
          <t>E.2</t>
        </is>
      </c>
      <c r="B30" s="10" t="inlineStr">
        <is>
          <t>Publicaciones</t>
        </is>
      </c>
      <c r="C30" s="10" t="inlineStr">
        <is>
          <t>H15</t>
        </is>
      </c>
      <c r="D30" s="10" t="inlineStr">
        <is>
          <t>Post con Video</t>
        </is>
      </c>
      <c r="E30" s="10" t="inlineStr">
        <is>
          <t>Optativa</t>
        </is>
      </c>
      <c r="F30" s="10" t="n">
        <v>5</v>
      </c>
      <c r="G30" s="10" t="inlineStr">
        <is>
          <t>Sin asignar</t>
        </is>
      </c>
      <c r="H30" s="10" t="inlineStr"/>
      <c r="I30" s="10" t="inlineStr"/>
      <c r="J30" s="10" t="inlineStr"/>
      <c r="K30" s="10" t="inlineStr"/>
      <c r="L30" s="10" t="inlineStr">
        <is>
          <t>#29</t>
        </is>
      </c>
      <c r="M30" s="10" t="inlineStr">
        <is>
          <t>No</t>
        </is>
      </c>
      <c r="N30" s="10" t="inlineStr"/>
      <c r="O30" s="10">
        <f>IF(LEFT(G30,5)="Hecha",F30,0)</f>
        <v/>
      </c>
    </row>
    <row r="31">
      <c r="A31" s="10" t="inlineStr">
        <is>
          <t>E.3</t>
        </is>
      </c>
      <c r="B31" s="10" t="inlineStr">
        <is>
          <t>Interacciones sociales</t>
        </is>
      </c>
      <c r="C31" s="10" t="inlineStr">
        <is>
          <t>H1</t>
        </is>
      </c>
      <c r="D31" s="10" t="inlineStr">
        <is>
          <t>Seguir a un Usuario</t>
        </is>
      </c>
      <c r="E31" s="10" t="inlineStr">
        <is>
          <t>Obligatoria</t>
        </is>
      </c>
      <c r="F31" s="10" t="n">
        <v>5</v>
      </c>
      <c r="G31" s="10" t="inlineStr">
        <is>
          <t>Hecha</t>
        </is>
      </c>
      <c r="H31" s="10" t="inlineStr">
        <is>
          <t>Joaquín Szterensus</t>
        </is>
      </c>
      <c r="I31" s="10" t="inlineStr">
        <is>
          <t>Joaquín Szterensus (social, auth)</t>
        </is>
      </c>
      <c r="J31" s="10" t="inlineStr">
        <is>
          <t>Tomás Díaz</t>
        </is>
      </c>
      <c r="K31" s="10" t="inlineStr">
        <is>
          <t>social #1 · auth #17 · mobile #14, #15</t>
        </is>
      </c>
      <c r="L31" s="10" t="inlineStr">
        <is>
          <t>#30</t>
        </is>
      </c>
      <c r="M31" s="10" t="inlineStr">
        <is>
          <t>Sí</t>
        </is>
      </c>
      <c r="N31" s="10" t="inlineStr"/>
      <c r="O31" s="10">
        <f>IF(LEFT(G31,5)="Hecha",F31,0)</f>
        <v/>
      </c>
    </row>
    <row r="32">
      <c r="A32" s="10" t="inlineStr">
        <is>
          <t>E.3</t>
        </is>
      </c>
      <c r="B32" s="10" t="inlineStr">
        <is>
          <t>Interacciones sociales</t>
        </is>
      </c>
      <c r="C32" s="10" t="inlineStr">
        <is>
          <t>H2</t>
        </is>
      </c>
      <c r="D32" s="10" t="inlineStr">
        <is>
          <t>Dejar de Seguir a un Usuario</t>
        </is>
      </c>
      <c r="E32" s="10" t="inlineStr">
        <is>
          <t>Obligatoria</t>
        </is>
      </c>
      <c r="F32" s="10" t="n">
        <v>2</v>
      </c>
      <c r="G32" s="10" t="inlineStr">
        <is>
          <t>Sin asignar</t>
        </is>
      </c>
      <c r="H32" s="10" t="inlineStr"/>
      <c r="I32" s="10" t="inlineStr"/>
      <c r="J32" s="10" t="inlineStr"/>
      <c r="K32" s="10" t="inlineStr"/>
      <c r="L32" s="10" t="inlineStr">
        <is>
          <t>#31</t>
        </is>
      </c>
      <c r="M32" s="10" t="inlineStr">
        <is>
          <t>No</t>
        </is>
      </c>
      <c r="N32" s="10" t="inlineStr"/>
      <c r="O32" s="10">
        <f>IF(LEFT(G32,5)="Hecha",F32,0)</f>
        <v/>
      </c>
    </row>
    <row r="33">
      <c r="A33" s="10" t="inlineStr">
        <is>
          <t>E.3</t>
        </is>
      </c>
      <c r="B33" s="10" t="inlineStr">
        <is>
          <t>Interacciones sociales</t>
        </is>
      </c>
      <c r="C33" s="10" t="inlineStr">
        <is>
          <t>H3</t>
        </is>
      </c>
      <c r="D33" s="10" t="inlineStr">
        <is>
          <t>Listado de Seguidores y Seguidos</t>
        </is>
      </c>
      <c r="E33" s="10" t="inlineStr">
        <is>
          <t>Obligatoria</t>
        </is>
      </c>
      <c r="F33" s="10" t="n">
        <v>3</v>
      </c>
      <c r="G33" s="10" t="inlineStr">
        <is>
          <t>Sin asignar</t>
        </is>
      </c>
      <c r="H33" s="10" t="inlineStr"/>
      <c r="I33" s="10" t="inlineStr"/>
      <c r="J33" s="10" t="inlineStr"/>
      <c r="K33" s="10" t="inlineStr"/>
      <c r="L33" s="10" t="inlineStr">
        <is>
          <t>#32</t>
        </is>
      </c>
      <c r="M33" s="10" t="inlineStr">
        <is>
          <t>No</t>
        </is>
      </c>
      <c r="N33" s="10" t="inlineStr"/>
      <c r="O33" s="10">
        <f>IF(LEFT(G33,5)="Hecha",F33,0)</f>
        <v/>
      </c>
    </row>
    <row r="34">
      <c r="A34" s="10" t="inlineStr">
        <is>
          <t>E.3</t>
        </is>
      </c>
      <c r="B34" s="10" t="inlineStr">
        <is>
          <t>Interacciones sociales</t>
        </is>
      </c>
      <c r="C34" s="10" t="inlineStr">
        <is>
          <t>H4</t>
        </is>
      </c>
      <c r="D34" s="10" t="inlineStr">
        <is>
          <t>Bloquear Usuario</t>
        </is>
      </c>
      <c r="E34" s="10" t="inlineStr">
        <is>
          <t>Obligatoria</t>
        </is>
      </c>
      <c r="F34" s="10" t="n">
        <v>2</v>
      </c>
      <c r="G34" s="10" t="inlineStr">
        <is>
          <t>Sin asignar</t>
        </is>
      </c>
      <c r="H34" s="10" t="inlineStr"/>
      <c r="I34" s="10" t="inlineStr"/>
      <c r="J34" s="10" t="inlineStr"/>
      <c r="K34" s="10" t="inlineStr"/>
      <c r="L34" s="10" t="inlineStr">
        <is>
          <t>#33</t>
        </is>
      </c>
      <c r="M34" s="10" t="inlineStr">
        <is>
          <t>No</t>
        </is>
      </c>
      <c r="N34" s="10" t="inlineStr"/>
      <c r="O34" s="10">
        <f>IF(LEFT(G34,5)="Hecha",F34,0)</f>
        <v/>
      </c>
    </row>
    <row r="35">
      <c r="A35" s="10" t="inlineStr">
        <is>
          <t>E.3</t>
        </is>
      </c>
      <c r="B35" s="10" t="inlineStr">
        <is>
          <t>Interacciones sociales</t>
        </is>
      </c>
      <c r="C35" s="10" t="inlineStr">
        <is>
          <t>H5</t>
        </is>
      </c>
      <c r="D35" s="10" t="inlineStr">
        <is>
          <t>Denunciar Usuario</t>
        </is>
      </c>
      <c r="E35" s="10" t="inlineStr">
        <is>
          <t>Obligatoria</t>
        </is>
      </c>
      <c r="F35" s="10" t="n">
        <v>2</v>
      </c>
      <c r="G35" s="10" t="inlineStr">
        <is>
          <t>Sin asignar</t>
        </is>
      </c>
      <c r="H35" s="10" t="inlineStr"/>
      <c r="I35" s="10" t="inlineStr"/>
      <c r="J35" s="10" t="inlineStr"/>
      <c r="K35" s="10" t="inlineStr"/>
      <c r="L35" s="10" t="inlineStr">
        <is>
          <t>#34</t>
        </is>
      </c>
      <c r="M35" s="10" t="inlineStr">
        <is>
          <t>No</t>
        </is>
      </c>
      <c r="N35" s="10" t="inlineStr"/>
      <c r="O35" s="10">
        <f>IF(LEFT(G35,5)="Hecha",F35,0)</f>
        <v/>
      </c>
    </row>
    <row r="36">
      <c r="A36" s="10" t="inlineStr">
        <is>
          <t>E.3</t>
        </is>
      </c>
      <c r="B36" s="10" t="inlineStr">
        <is>
          <t>Interacciones sociales</t>
        </is>
      </c>
      <c r="C36" s="10" t="inlineStr">
        <is>
          <t>H6</t>
        </is>
      </c>
      <c r="D36" s="10" t="inlineStr">
        <is>
          <t>Mensajes Directos (DM)</t>
        </is>
      </c>
      <c r="E36" s="10" t="inlineStr">
        <is>
          <t>Optativa</t>
        </is>
      </c>
      <c r="F36" s="10" t="n">
        <v>8</v>
      </c>
      <c r="G36" s="10" t="inlineStr">
        <is>
          <t>Sin asignar</t>
        </is>
      </c>
      <c r="H36" s="10" t="inlineStr"/>
      <c r="I36" s="10" t="inlineStr"/>
      <c r="J36" s="10" t="inlineStr"/>
      <c r="K36" s="10" t="inlineStr"/>
      <c r="L36" s="10" t="inlineStr">
        <is>
          <t>#35</t>
        </is>
      </c>
      <c r="M36" s="10" t="inlineStr">
        <is>
          <t>No</t>
        </is>
      </c>
      <c r="N36" s="10" t="inlineStr"/>
      <c r="O36" s="10">
        <f>IF(LEFT(G36,5)="Hecha",F36,0)</f>
        <v/>
      </c>
    </row>
    <row r="37">
      <c r="A37" s="10" t="inlineStr">
        <is>
          <t>E.3</t>
        </is>
      </c>
      <c r="B37" s="10" t="inlineStr">
        <is>
          <t>Interacciones sociales</t>
        </is>
      </c>
      <c r="C37" s="10" t="inlineStr">
        <is>
          <t>H7</t>
        </is>
      </c>
      <c r="D37" s="10" t="inlineStr">
        <is>
          <t>Usuarios en línea</t>
        </is>
      </c>
      <c r="E37" s="10" t="inlineStr">
        <is>
          <t>Optativa</t>
        </is>
      </c>
      <c r="F37" s="10" t="n">
        <v>3</v>
      </c>
      <c r="G37" s="10" t="inlineStr">
        <is>
          <t>Sin asignar</t>
        </is>
      </c>
      <c r="H37" s="10" t="inlineStr"/>
      <c r="I37" s="10" t="inlineStr"/>
      <c r="J37" s="10" t="inlineStr"/>
      <c r="K37" s="10" t="inlineStr"/>
      <c r="L37" s="10" t="inlineStr">
        <is>
          <t>#36</t>
        </is>
      </c>
      <c r="M37" s="10" t="inlineStr">
        <is>
          <t>No</t>
        </is>
      </c>
      <c r="N37" s="10" t="inlineStr"/>
      <c r="O37" s="10">
        <f>IF(LEFT(G37,5)="Hecha",F37,0)</f>
        <v/>
      </c>
    </row>
    <row r="38">
      <c r="A38" s="10" t="inlineStr">
        <is>
          <t>E.3</t>
        </is>
      </c>
      <c r="B38" s="10" t="inlineStr">
        <is>
          <t>Interacciones sociales</t>
        </is>
      </c>
      <c r="C38" s="10" t="inlineStr">
        <is>
          <t>H8</t>
        </is>
      </c>
      <c r="D38" s="10" t="inlineStr">
        <is>
          <t>Listas Personalizadas</t>
        </is>
      </c>
      <c r="E38" s="10" t="inlineStr">
        <is>
          <t>Optativa</t>
        </is>
      </c>
      <c r="F38" s="10" t="n">
        <v>3</v>
      </c>
      <c r="G38" s="10" t="inlineStr">
        <is>
          <t>Sin asignar</t>
        </is>
      </c>
      <c r="H38" s="10" t="inlineStr"/>
      <c r="I38" s="10" t="inlineStr"/>
      <c r="J38" s="10" t="inlineStr"/>
      <c r="K38" s="10" t="inlineStr"/>
      <c r="L38" s="10" t="inlineStr">
        <is>
          <t>#37</t>
        </is>
      </c>
      <c r="M38" s="10" t="inlineStr">
        <is>
          <t>No</t>
        </is>
      </c>
      <c r="N38" s="10" t="inlineStr"/>
      <c r="O38" s="10">
        <f>IF(LEFT(G38,5)="Hecha",F38,0)</f>
        <v/>
      </c>
    </row>
    <row r="39">
      <c r="A39" s="10" t="inlineStr">
        <is>
          <t>E.3</t>
        </is>
      </c>
      <c r="B39" s="10" t="inlineStr">
        <is>
          <t>Interacciones sociales</t>
        </is>
      </c>
      <c r="C39" s="10" t="inlineStr">
        <is>
          <t>H9</t>
        </is>
      </c>
      <c r="D39" s="10" t="inlineStr">
        <is>
          <t>Invitar Usuarios Externos</t>
        </is>
      </c>
      <c r="E39" s="10" t="inlineStr">
        <is>
          <t>Optativa</t>
        </is>
      </c>
      <c r="F39" s="10" t="n">
        <v>2</v>
      </c>
      <c r="G39" s="10" t="inlineStr">
        <is>
          <t>Sin asignar</t>
        </is>
      </c>
      <c r="H39" s="10" t="inlineStr"/>
      <c r="I39" s="10" t="inlineStr"/>
      <c r="J39" s="10" t="inlineStr"/>
      <c r="K39" s="10" t="inlineStr"/>
      <c r="L39" s="10" t="inlineStr">
        <is>
          <t>#38</t>
        </is>
      </c>
      <c r="M39" s="10" t="inlineStr">
        <is>
          <t>No</t>
        </is>
      </c>
      <c r="N39" s="10" t="inlineStr"/>
      <c r="O39" s="10">
        <f>IF(LEFT(G39,5)="Hecha",F39,0)</f>
        <v/>
      </c>
    </row>
    <row r="40">
      <c r="A40" s="10" t="inlineStr">
        <is>
          <t>E.3</t>
        </is>
      </c>
      <c r="B40" s="10" t="inlineStr">
        <is>
          <t>Interacciones sociales</t>
        </is>
      </c>
      <c r="C40" s="10" t="inlineStr">
        <is>
          <t>H10</t>
        </is>
      </c>
      <c r="D40" s="10" t="inlineStr">
        <is>
          <t>Silenciar Usuario</t>
        </is>
      </c>
      <c r="E40" s="10" t="inlineStr">
        <is>
          <t>Optativa</t>
        </is>
      </c>
      <c r="F40" s="10" t="n">
        <v>5</v>
      </c>
      <c r="G40" s="10" t="inlineStr">
        <is>
          <t>Sin asignar</t>
        </is>
      </c>
      <c r="H40" s="10" t="inlineStr"/>
      <c r="I40" s="10" t="inlineStr"/>
      <c r="J40" s="10" t="inlineStr"/>
      <c r="K40" s="10" t="inlineStr"/>
      <c r="L40" s="10" t="inlineStr">
        <is>
          <t>#39</t>
        </is>
      </c>
      <c r="M40" s="10" t="inlineStr">
        <is>
          <t>No</t>
        </is>
      </c>
      <c r="N40" s="10" t="inlineStr"/>
      <c r="O40" s="10">
        <f>IF(LEFT(G40,5)="Hecha",F40,0)</f>
        <v/>
      </c>
    </row>
    <row r="41">
      <c r="A41" s="10" t="inlineStr">
        <is>
          <t>E.4</t>
        </is>
      </c>
      <c r="B41" s="10" t="inlineStr">
        <is>
          <t>Notificaciones</t>
        </is>
      </c>
      <c r="C41" s="10" t="inlineStr">
        <is>
          <t>H1</t>
        </is>
      </c>
      <c r="D41" s="10" t="inlineStr">
        <is>
          <t>Recibir notificaciones de nuevo seguidor</t>
        </is>
      </c>
      <c r="E41" s="10" t="inlineStr">
        <is>
          <t>Obligatoria</t>
        </is>
      </c>
      <c r="F41" s="10" t="n">
        <v>2</v>
      </c>
      <c r="G41" s="10" t="inlineStr">
        <is>
          <t>Sin asignar</t>
        </is>
      </c>
      <c r="H41" s="10" t="inlineStr"/>
      <c r="I41" s="10" t="inlineStr"/>
      <c r="J41" s="10" t="inlineStr"/>
      <c r="K41" s="10" t="inlineStr"/>
      <c r="L41" s="10" t="inlineStr">
        <is>
          <t>#40</t>
        </is>
      </c>
      <c r="M41" s="10" t="inlineStr">
        <is>
          <t>No</t>
        </is>
      </c>
      <c r="N41" s="10" t="inlineStr"/>
      <c r="O41" s="10">
        <f>IF(LEFT(G41,5)="Hecha",F41,0)</f>
        <v/>
      </c>
    </row>
    <row r="42">
      <c r="A42" s="10" t="inlineStr">
        <is>
          <t>E.4</t>
        </is>
      </c>
      <c r="B42" s="10" t="inlineStr">
        <is>
          <t>Notificaciones</t>
        </is>
      </c>
      <c r="C42" s="10" t="inlineStr">
        <is>
          <t>H2</t>
        </is>
      </c>
      <c r="D42" s="10" t="inlineStr">
        <is>
          <t>Notificación de interacción</t>
        </is>
      </c>
      <c r="E42" s="10" t="inlineStr">
        <is>
          <t>Obligatoria</t>
        </is>
      </c>
      <c r="F42" s="10" t="n">
        <v>2</v>
      </c>
      <c r="G42" s="10" t="inlineStr">
        <is>
          <t>Sin asignar</t>
        </is>
      </c>
      <c r="H42" s="10" t="inlineStr"/>
      <c r="I42" s="10" t="inlineStr"/>
      <c r="J42" s="10" t="inlineStr"/>
      <c r="K42" s="10" t="inlineStr"/>
      <c r="L42" s="10" t="inlineStr">
        <is>
          <t>#41</t>
        </is>
      </c>
      <c r="M42" s="10" t="inlineStr">
        <is>
          <t>No</t>
        </is>
      </c>
      <c r="N42" s="10" t="inlineStr"/>
      <c r="O42" s="10">
        <f>IF(LEFT(G42,5)="Hecha",F42,0)</f>
        <v/>
      </c>
    </row>
    <row r="43">
      <c r="A43" s="10" t="inlineStr">
        <is>
          <t>E.4</t>
        </is>
      </c>
      <c r="B43" s="10" t="inlineStr">
        <is>
          <t>Notificaciones</t>
        </is>
      </c>
      <c r="C43" s="10" t="inlineStr">
        <is>
          <t>H3</t>
        </is>
      </c>
      <c r="D43" s="10" t="inlineStr">
        <is>
          <t>Centro de Notificaciones In-App</t>
        </is>
      </c>
      <c r="E43" s="10" t="inlineStr">
        <is>
          <t>Obligatoria</t>
        </is>
      </c>
      <c r="F43" s="10" t="n">
        <v>3</v>
      </c>
      <c r="G43" s="10" t="inlineStr">
        <is>
          <t>Sin asignar</t>
        </is>
      </c>
      <c r="H43" s="10" t="inlineStr"/>
      <c r="I43" s="10" t="inlineStr"/>
      <c r="J43" s="10" t="inlineStr"/>
      <c r="K43" s="10" t="inlineStr"/>
      <c r="L43" s="10" t="inlineStr">
        <is>
          <t>#42</t>
        </is>
      </c>
      <c r="M43" s="10" t="inlineStr">
        <is>
          <t>No</t>
        </is>
      </c>
      <c r="N43" s="10" t="inlineStr"/>
      <c r="O43" s="10">
        <f>IF(LEFT(G43,5)="Hecha",F43,0)</f>
        <v/>
      </c>
    </row>
    <row r="44">
      <c r="A44" s="10" t="inlineStr">
        <is>
          <t>E.4</t>
        </is>
      </c>
      <c r="B44" s="10" t="inlineStr">
        <is>
          <t>Notificaciones</t>
        </is>
      </c>
      <c r="C44" s="10" t="inlineStr">
        <is>
          <t>H4</t>
        </is>
      </c>
      <c r="D44" s="10" t="inlineStr">
        <is>
          <t>Notificación de mención</t>
        </is>
      </c>
      <c r="E44" s="10" t="inlineStr">
        <is>
          <t>Optativa</t>
        </is>
      </c>
      <c r="F44" s="10" t="n">
        <v>5</v>
      </c>
      <c r="G44" s="10" t="inlineStr">
        <is>
          <t>Sin asignar</t>
        </is>
      </c>
      <c r="H44" s="10" t="inlineStr"/>
      <c r="I44" s="10" t="inlineStr"/>
      <c r="J44" s="10" t="inlineStr"/>
      <c r="K44" s="10" t="inlineStr"/>
      <c r="L44" s="10" t="inlineStr">
        <is>
          <t>#43</t>
        </is>
      </c>
      <c r="M44" s="10" t="inlineStr">
        <is>
          <t>No</t>
        </is>
      </c>
      <c r="N44" s="10" t="inlineStr"/>
      <c r="O44" s="10">
        <f>IF(LEFT(G44,5)="Hecha",F44,0)</f>
        <v/>
      </c>
    </row>
    <row r="45">
      <c r="A45" s="10" t="inlineStr">
        <is>
          <t>E.4</t>
        </is>
      </c>
      <c r="B45" s="10" t="inlineStr">
        <is>
          <t>Notificaciones</t>
        </is>
      </c>
      <c r="C45" s="10" t="inlineStr">
        <is>
          <t>H5</t>
        </is>
      </c>
      <c r="D45" s="10" t="inlineStr">
        <is>
          <t>Configurar Preferencias de Notificación</t>
        </is>
      </c>
      <c r="E45" s="10" t="inlineStr">
        <is>
          <t>Optativa</t>
        </is>
      </c>
      <c r="F45" s="10" t="n">
        <v>3</v>
      </c>
      <c r="G45" s="10" t="inlineStr">
        <is>
          <t>Sin asignar</t>
        </is>
      </c>
      <c r="H45" s="10" t="inlineStr"/>
      <c r="I45" s="10" t="inlineStr"/>
      <c r="J45" s="10" t="inlineStr"/>
      <c r="K45" s="10" t="inlineStr"/>
      <c r="L45" s="10" t="inlineStr">
        <is>
          <t>#44</t>
        </is>
      </c>
      <c r="M45" s="10" t="inlineStr">
        <is>
          <t>No</t>
        </is>
      </c>
      <c r="N45" s="10" t="inlineStr"/>
      <c r="O45" s="10">
        <f>IF(LEFT(G45,5)="Hecha",F45,0)</f>
        <v/>
      </c>
    </row>
    <row r="46">
      <c r="A46" s="10" t="inlineStr">
        <is>
          <t>E.5</t>
        </is>
      </c>
      <c r="B46" s="10" t="inlineStr">
        <is>
          <t>Backoffice</t>
        </is>
      </c>
      <c r="C46" s="10" t="inlineStr">
        <is>
          <t>H1</t>
        </is>
      </c>
      <c r="D46" s="10" t="inlineStr">
        <is>
          <t>Creación de Administradores</t>
        </is>
      </c>
      <c r="E46" s="10" t="inlineStr">
        <is>
          <t>Obligatoria</t>
        </is>
      </c>
      <c r="F46" s="10" t="n">
        <v>5</v>
      </c>
      <c r="G46" s="10" t="inlineStr">
        <is>
          <t>Hecha</t>
        </is>
      </c>
      <c r="H46" s="10" t="inlineStr">
        <is>
          <t>Joaquín Szterensus</t>
        </is>
      </c>
      <c r="I46" s="10" t="inlineStr">
        <is>
          <t>Joaquín Szterensus, Santino Domato</t>
        </is>
      </c>
      <c r="J46" s="10" t="inlineStr">
        <is>
          <t>Santino Domato</t>
        </is>
      </c>
      <c r="K46" s="10" t="inlineStr">
        <is>
          <t>admin #2, #3, #6</t>
        </is>
      </c>
      <c r="L46" s="10" t="inlineStr">
        <is>
          <t>#45</t>
        </is>
      </c>
      <c r="M46" s="10" t="inlineStr">
        <is>
          <t>Sí</t>
        </is>
      </c>
      <c r="N46" s="10" t="inlineStr"/>
      <c r="O46" s="10">
        <f>IF(LEFT(G46,5)="Hecha",F46,0)</f>
        <v/>
      </c>
    </row>
    <row r="47">
      <c r="A47" s="10" t="inlineStr">
        <is>
          <t>E.5</t>
        </is>
      </c>
      <c r="B47" s="10" t="inlineStr">
        <is>
          <t>Backoffice</t>
        </is>
      </c>
      <c r="C47" s="10" t="inlineStr">
        <is>
          <t>H2</t>
        </is>
      </c>
      <c r="D47" s="10" t="inlineStr">
        <is>
          <t>Inicio de sesión como Administrador</t>
        </is>
      </c>
      <c r="E47" s="10" t="inlineStr">
        <is>
          <t>Obligatoria</t>
        </is>
      </c>
      <c r="F47" s="10" t="n">
        <v>2</v>
      </c>
      <c r="G47" s="10" t="inlineStr">
        <is>
          <t>Hecha</t>
        </is>
      </c>
      <c r="H47" s="10" t="inlineStr">
        <is>
          <t>Santino Domato</t>
        </is>
      </c>
      <c r="I47" s="10" t="inlineStr">
        <is>
          <t>Santino Domato</t>
        </is>
      </c>
      <c r="J47" s="10" t="inlineStr">
        <is>
          <t>Santino Domato</t>
        </is>
      </c>
      <c r="K47" s="10" t="inlineStr">
        <is>
          <t>admin #6 (+ #7, #9 abiertos de Tomás)</t>
        </is>
      </c>
      <c r="L47" s="10" t="inlineStr">
        <is>
          <t>#46</t>
        </is>
      </c>
      <c r="M47" s="10" t="inlineStr">
        <is>
          <t>Sí</t>
        </is>
      </c>
      <c r="N47" s="10" t="inlineStr">
        <is>
          <t>La issue no tiene responsable asignado en GitHub.</t>
        </is>
      </c>
      <c r="O47" s="10">
        <f>IF(LEFT(G47,5)="Hecha",F47,0)</f>
        <v/>
      </c>
    </row>
    <row r="48">
      <c r="A48" s="10" t="inlineStr">
        <is>
          <t>E.5</t>
        </is>
      </c>
      <c r="B48" s="10" t="inlineStr">
        <is>
          <t>Backoffice</t>
        </is>
      </c>
      <c r="C48" s="10" t="inlineStr">
        <is>
          <t>H3</t>
        </is>
      </c>
      <c r="D48" s="10" t="inlineStr">
        <is>
          <t>Visualización de Métricas</t>
        </is>
      </c>
      <c r="E48" s="10" t="inlineStr">
        <is>
          <t>Optativa</t>
        </is>
      </c>
      <c r="F48" s="10" t="n">
        <v>5</v>
      </c>
      <c r="G48" s="10" t="inlineStr">
        <is>
          <t>Sin asignar</t>
        </is>
      </c>
      <c r="H48" s="10" t="inlineStr"/>
      <c r="I48" s="10" t="inlineStr"/>
      <c r="J48" s="10" t="inlineStr"/>
      <c r="K48" s="10" t="inlineStr"/>
      <c r="L48" s="10" t="inlineStr">
        <is>
          <t>#47</t>
        </is>
      </c>
      <c r="M48" s="10" t="inlineStr">
        <is>
          <t>No</t>
        </is>
      </c>
      <c r="N48" s="10" t="inlineStr"/>
      <c r="O48" s="10">
        <f>IF(LEFT(G48,5)="Hecha",F48,0)</f>
        <v/>
      </c>
    </row>
    <row r="49">
      <c r="A49" s="10" t="inlineStr">
        <is>
          <t>E.5</t>
        </is>
      </c>
      <c r="B49" s="10" t="inlineStr">
        <is>
          <t>Backoffice</t>
        </is>
      </c>
      <c r="C49" s="10" t="inlineStr">
        <is>
          <t>H4</t>
        </is>
      </c>
      <c r="D49" s="10" t="inlineStr">
        <is>
          <t>Buscador y Detalles de Usuarios</t>
        </is>
      </c>
      <c r="E49" s="10" t="inlineStr">
        <is>
          <t>Obligatoria</t>
        </is>
      </c>
      <c r="F49" s="10" t="n">
        <v>3</v>
      </c>
      <c r="G49" s="10" t="inlineStr">
        <is>
          <t>Sin asignar</t>
        </is>
      </c>
      <c r="H49" s="10" t="inlineStr"/>
      <c r="I49" s="10" t="inlineStr"/>
      <c r="J49" s="10" t="inlineStr"/>
      <c r="K49" s="10" t="inlineStr"/>
      <c r="L49" s="10" t="inlineStr">
        <is>
          <t>#48</t>
        </is>
      </c>
      <c r="M49" s="10" t="inlineStr">
        <is>
          <t>No</t>
        </is>
      </c>
      <c r="N49" s="10" t="inlineStr"/>
      <c r="O49" s="10">
        <f>IF(LEFT(G49,5)="Hecha",F49,0)</f>
        <v/>
      </c>
    </row>
    <row r="50">
      <c r="A50" s="10" t="inlineStr">
        <is>
          <t>E.5</t>
        </is>
      </c>
      <c r="B50" s="10" t="inlineStr">
        <is>
          <t>Backoffice</t>
        </is>
      </c>
      <c r="C50" s="10" t="inlineStr">
        <is>
          <t>H5</t>
        </is>
      </c>
      <c r="D50" s="10" t="inlineStr">
        <is>
          <t>Bloqueo de Usuarios por Admin</t>
        </is>
      </c>
      <c r="E50" s="10" t="inlineStr">
        <is>
          <t>Obligatoria</t>
        </is>
      </c>
      <c r="F50" s="10" t="n">
        <v>2</v>
      </c>
      <c r="G50" s="10" t="inlineStr">
        <is>
          <t>Sin asignar</t>
        </is>
      </c>
      <c r="H50" s="10" t="inlineStr"/>
      <c r="I50" s="10" t="inlineStr"/>
      <c r="J50" s="10" t="inlineStr"/>
      <c r="K50" s="10" t="inlineStr"/>
      <c r="L50" s="10" t="inlineStr">
        <is>
          <t>#49</t>
        </is>
      </c>
      <c r="M50" s="10" t="inlineStr">
        <is>
          <t>No</t>
        </is>
      </c>
      <c r="N50" s="10" t="inlineStr"/>
      <c r="O50" s="10">
        <f>IF(LEFT(G50,5)="Hecha",F50,0)</f>
        <v/>
      </c>
    </row>
    <row r="51">
      <c r="A51" s="10" t="inlineStr">
        <is>
          <t>E.5</t>
        </is>
      </c>
      <c r="B51" s="10" t="inlineStr">
        <is>
          <t>Backoffice</t>
        </is>
      </c>
      <c r="C51" s="10" t="inlineStr">
        <is>
          <t>H6</t>
        </is>
      </c>
      <c r="D51" s="10" t="inlineStr">
        <is>
          <t>Logs de Auditoría</t>
        </is>
      </c>
      <c r="E51" s="10" t="inlineStr">
        <is>
          <t>Obligatoria</t>
        </is>
      </c>
      <c r="F51" s="10" t="n">
        <v>3</v>
      </c>
      <c r="G51" s="10" t="inlineStr">
        <is>
          <t>Sin asignar</t>
        </is>
      </c>
      <c r="H51" s="10" t="inlineStr"/>
      <c r="I51" s="10" t="inlineStr"/>
      <c r="J51" s="10" t="inlineStr"/>
      <c r="K51" s="10" t="inlineStr"/>
      <c r="L51" s="10" t="inlineStr">
        <is>
          <t>#50</t>
        </is>
      </c>
      <c r="M51" s="10" t="inlineStr">
        <is>
          <t>No</t>
        </is>
      </c>
      <c r="N51" s="10" t="inlineStr"/>
      <c r="O51" s="10">
        <f>IF(LEFT(G51,5)="Hecha",F51,0)</f>
        <v/>
      </c>
    </row>
    <row r="52">
      <c r="A52" s="10" t="inlineStr">
        <is>
          <t>E.5</t>
        </is>
      </c>
      <c r="B52" s="10" t="inlineStr">
        <is>
          <t>Backoffice</t>
        </is>
      </c>
      <c r="C52" s="10" t="inlineStr">
        <is>
          <t>H7</t>
        </is>
      </c>
      <c r="D52" s="10" t="inlineStr">
        <is>
          <t>Gestión de Denuncias</t>
        </is>
      </c>
      <c r="E52" s="10" t="inlineStr">
        <is>
          <t>Obligatoria</t>
        </is>
      </c>
      <c r="F52" s="10" t="n">
        <v>3</v>
      </c>
      <c r="G52" s="10" t="inlineStr">
        <is>
          <t>Sin asignar</t>
        </is>
      </c>
      <c r="H52" s="10" t="inlineStr"/>
      <c r="I52" s="10" t="inlineStr"/>
      <c r="J52" s="10" t="inlineStr"/>
      <c r="K52" s="10" t="inlineStr"/>
      <c r="L52" s="10" t="inlineStr">
        <is>
          <t>#51</t>
        </is>
      </c>
      <c r="M52" s="10" t="inlineStr">
        <is>
          <t>No</t>
        </is>
      </c>
      <c r="N52" s="10" t="inlineStr"/>
      <c r="O52" s="10">
        <f>IF(LEFT(G52,5)="Hecha",F52,0)</f>
        <v/>
      </c>
    </row>
    <row r="53">
      <c r="A53" s="10" t="inlineStr">
        <is>
          <t>E.5</t>
        </is>
      </c>
      <c r="B53" s="10" t="inlineStr">
        <is>
          <t>Backoffice</t>
        </is>
      </c>
      <c r="C53" s="10" t="inlineStr">
        <is>
          <t>H8</t>
        </is>
      </c>
      <c r="D53" s="10" t="inlineStr">
        <is>
          <t>Exportar Datos</t>
        </is>
      </c>
      <c r="E53" s="10" t="inlineStr">
        <is>
          <t>Optativa</t>
        </is>
      </c>
      <c r="F53" s="10" t="n">
        <v>2</v>
      </c>
      <c r="G53" s="10" t="inlineStr">
        <is>
          <t>Sin asignar</t>
        </is>
      </c>
      <c r="H53" s="10" t="inlineStr"/>
      <c r="I53" s="10" t="inlineStr"/>
      <c r="J53" s="10" t="inlineStr"/>
      <c r="K53" s="10" t="inlineStr"/>
      <c r="L53" s="10" t="inlineStr">
        <is>
          <t>#52</t>
        </is>
      </c>
      <c r="M53" s="10" t="inlineStr">
        <is>
          <t>No</t>
        </is>
      </c>
      <c r="N53" s="10" t="inlineStr"/>
      <c r="O53" s="10">
        <f>IF(LEFT(G53,5)="Hecha",F53,0)</f>
        <v/>
      </c>
    </row>
    <row r="54">
      <c r="A54" s="10" t="inlineStr">
        <is>
          <t>E.5</t>
        </is>
      </c>
      <c r="B54" s="10" t="inlineStr">
        <is>
          <t>Backoffice</t>
        </is>
      </c>
      <c r="C54" s="10" t="inlineStr">
        <is>
          <t>H9</t>
        </is>
      </c>
      <c r="D54" s="10" t="inlineStr">
        <is>
          <t>Registro de Ultima Conexión</t>
        </is>
      </c>
      <c r="E54" s="10" t="inlineStr">
        <is>
          <t>Optativa</t>
        </is>
      </c>
      <c r="F54" s="10" t="n">
        <v>2</v>
      </c>
      <c r="G54" s="10" t="inlineStr">
        <is>
          <t>Sin asignar</t>
        </is>
      </c>
      <c r="H54" s="10" t="inlineStr"/>
      <c r="I54" s="10" t="inlineStr"/>
      <c r="J54" s="10" t="inlineStr"/>
      <c r="K54" s="10" t="inlineStr"/>
      <c r="L54" s="10" t="inlineStr">
        <is>
          <t>#53</t>
        </is>
      </c>
      <c r="M54" s="10" t="inlineStr">
        <is>
          <t>No</t>
        </is>
      </c>
      <c r="N54" s="10" t="inlineStr"/>
      <c r="O54" s="10">
        <f>IF(LEFT(G54,5)="Hecha",F54,0)</f>
        <v/>
      </c>
    </row>
    <row r="55">
      <c r="A55" s="10" t="inlineStr">
        <is>
          <t>E.5</t>
        </is>
      </c>
      <c r="B55" s="10" t="inlineStr">
        <is>
          <t>Backoffice</t>
        </is>
      </c>
      <c r="C55" s="10" t="inlineStr">
        <is>
          <t>H10</t>
        </is>
      </c>
      <c r="D55" s="10" t="inlineStr">
        <is>
          <t>Borrado Forzado de Contenido</t>
        </is>
      </c>
      <c r="E55" s="10" t="inlineStr">
        <is>
          <t>Optativa</t>
        </is>
      </c>
      <c r="F55" s="10" t="n">
        <v>3</v>
      </c>
      <c r="G55" s="10" t="inlineStr">
        <is>
          <t>Sin asignar</t>
        </is>
      </c>
      <c r="H55" s="10" t="inlineStr"/>
      <c r="I55" s="10" t="inlineStr"/>
      <c r="J55" s="10" t="inlineStr"/>
      <c r="K55" s="10" t="inlineStr"/>
      <c r="L55" s="10" t="inlineStr">
        <is>
          <t>#54</t>
        </is>
      </c>
      <c r="M55" s="10" t="inlineStr">
        <is>
          <t>No</t>
        </is>
      </c>
      <c r="N55" s="10" t="inlineStr"/>
      <c r="O55" s="10">
        <f>IF(LEFT(G55,5)="Hecha",F55,0)</f>
        <v/>
      </c>
    </row>
    <row r="56">
      <c r="A56" s="10" t="inlineStr">
        <is>
          <t>E.5</t>
        </is>
      </c>
      <c r="B56" s="10" t="inlineStr">
        <is>
          <t>Backoffice</t>
        </is>
      </c>
      <c r="C56" s="10" t="inlineStr">
        <is>
          <t>H11</t>
        </is>
      </c>
      <c r="D56" s="10" t="inlineStr">
        <is>
          <t>Estado de los Microservicios</t>
        </is>
      </c>
      <c r="E56" s="10" t="inlineStr">
        <is>
          <t>Optativa</t>
        </is>
      </c>
      <c r="F56" s="10" t="n">
        <v>5</v>
      </c>
      <c r="G56" s="10" t="inlineStr">
        <is>
          <t>Sin asignar</t>
        </is>
      </c>
      <c r="H56" s="10" t="inlineStr"/>
      <c r="I56" s="10" t="inlineStr"/>
      <c r="J56" s="10" t="inlineStr"/>
      <c r="K56" s="10" t="inlineStr"/>
      <c r="L56" s="10" t="inlineStr">
        <is>
          <t>#55</t>
        </is>
      </c>
      <c r="M56" s="10" t="inlineStr">
        <is>
          <t>No</t>
        </is>
      </c>
      <c r="N56" s="10" t="inlineStr"/>
      <c r="O56" s="10">
        <f>IF(LEFT(G56,5)="Hecha",F56,0)</f>
        <v/>
      </c>
    </row>
    <row r="57">
      <c r="A57" s="10" t="inlineStr">
        <is>
          <t>E.5</t>
        </is>
      </c>
      <c r="B57" s="10" t="inlineStr">
        <is>
          <t>Backoffice</t>
        </is>
      </c>
      <c r="C57" s="10" t="inlineStr">
        <is>
          <t>H12</t>
        </is>
      </c>
      <c r="D57" s="10" t="inlineStr">
        <is>
          <t>Gestión de Feedback/Reportes</t>
        </is>
      </c>
      <c r="E57" s="10" t="inlineStr">
        <is>
          <t>Optativa</t>
        </is>
      </c>
      <c r="F57" s="10" t="n">
        <v>3</v>
      </c>
      <c r="G57" s="10" t="inlineStr">
        <is>
          <t>Sin asignar</t>
        </is>
      </c>
      <c r="H57" s="10" t="inlineStr"/>
      <c r="I57" s="10" t="inlineStr"/>
      <c r="J57" s="10" t="inlineStr"/>
      <c r="K57" s="10" t="inlineStr"/>
      <c r="L57" s="10" t="inlineStr">
        <is>
          <t>#56</t>
        </is>
      </c>
      <c r="M57" s="10" t="inlineStr">
        <is>
          <t>No</t>
        </is>
      </c>
      <c r="N57" s="10" t="inlineStr"/>
      <c r="O57" s="10">
        <f>IF(LEFT(G57,5)="Hecha",F57,0)</f>
        <v/>
      </c>
    </row>
  </sheetData>
  <autoFilter ref="A1:O57"/>
  <conditionalFormatting sqref="G2:G57">
    <cfRule type="expression" priority="1" dxfId="0">
      <formula>LEFT($G2,5)="Hecha"</formula>
    </cfRule>
    <cfRule type="expression" priority="2" dxfId="1">
      <formula>$G2="En curso"</formula>
    </cfRule>
    <cfRule type="expression" priority="3" dxfId="2">
      <formula>$G2="Asignada"</formula>
    </cfRule>
  </conditionalFormatting>
  <dataValidations count="1">
    <dataValidation sqref="G2:G57" showDropDown="0" showInputMessage="0" showErrorMessage="0" allowBlank="0" type="list">
      <formula1>"Hecha,Hecha (falta cerrar la issue),En curso,Asignada,Sin asignar"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30" customWidth="1" min="3" max="3"/>
    <col width="80" customWidth="1" min="4" max="4"/>
  </cols>
  <sheetData>
    <row r="1">
      <c r="A1" s="11" t="inlineStr">
        <is>
          <t>Requisito del enunciado</t>
        </is>
      </c>
      <c r="B1" s="11" t="inlineStr">
        <is>
          <t>Estado</t>
        </is>
      </c>
      <c r="C1" s="11" t="inlineStr">
        <is>
          <t>Responsable</t>
        </is>
      </c>
      <c r="D1" s="11" t="inlineStr">
        <is>
          <t>Evidencia o aclaración</t>
        </is>
      </c>
    </row>
    <row r="2">
      <c r="A2" s="10" t="inlineStr">
        <is>
          <t>App principal exclusivamente mobile</t>
        </is>
      </c>
      <c r="B2" s="10" t="inlineStr">
        <is>
          <t>Cumplido</t>
        </is>
      </c>
      <c r="C2" s="10" t="inlineStr">
        <is>
          <t>Joaquín Szterensus (base), todo el equipo</t>
        </is>
      </c>
      <c r="D2" s="10" t="inlineStr">
        <is>
          <t>mobile-app: React Native con Expo y TypeScript.</t>
        </is>
      </c>
    </row>
    <row r="3">
      <c r="A3" s="10" t="inlineStr">
        <is>
          <t>Backoffice web para administradores</t>
        </is>
      </c>
      <c r="B3" s="10" t="inlineStr">
        <is>
          <t>En curso</t>
        </is>
      </c>
      <c r="C3" s="10" t="inlineStr">
        <is>
          <t>Santino Domato, Tomás Díaz</t>
        </is>
      </c>
      <c r="D3" s="10" t="inlineStr">
        <is>
          <t>admin-service sirve el portal web (admin #6 mergeado; #9 abierto).</t>
        </is>
      </c>
    </row>
    <row r="4">
      <c r="A4" s="10" t="inlineStr">
        <is>
          <t>Arquitectura de microservicios</t>
        </is>
      </c>
      <c r="B4" s="10" t="inlineStr">
        <is>
          <t>Cumplido</t>
        </is>
      </c>
      <c r="C4" s="10" t="inlineStr">
        <is>
          <t>Equipo</t>
        </is>
      </c>
      <c r="D4" s="10" t="inlineStr">
        <is>
          <t>auth, posts, social, media y admin, más un api-gateway.</t>
        </is>
      </c>
    </row>
    <row r="5">
      <c r="A5" s="10" t="inlineStr">
        <is>
          <t>Al menos dos tipos de base de datos</t>
        </is>
      </c>
      <c r="B5" s="10" t="inlineStr">
        <is>
          <t>Cumplido</t>
        </is>
      </c>
      <c r="C5" s="10" t="inlineStr">
        <is>
          <t>Equipo</t>
        </is>
      </c>
      <c r="D5" s="10" t="inlineStr">
        <is>
          <t>PostgreSQL, una base por servicio, y Redis para datos con vencimiento.</t>
        </is>
      </c>
    </row>
    <row r="6">
      <c r="A6" s="10" t="inlineStr">
        <is>
          <t>Backend en más de una tecnología</t>
        </is>
      </c>
      <c r="B6" s="10" t="inlineStr">
        <is>
          <t>Cumplido</t>
        </is>
      </c>
      <c r="C6" s="10" t="inlineStr">
        <is>
          <t>Joaquín Szterensus, Santino Domato, Tomás Díaz</t>
        </is>
      </c>
      <c r="D6" s="10" t="inlineStr">
        <is>
          <t>admin-service está escrito en Go; el resto, en Python con FastAPI.</t>
        </is>
      </c>
    </row>
    <row r="7">
      <c r="A7" s="10" t="inlineStr">
        <is>
          <t>Desplegada en la nube, cada servicio en Docker</t>
        </is>
      </c>
      <c r="B7" s="10" t="inlineStr">
        <is>
          <t>En curso</t>
        </is>
      </c>
      <c r="C7" s="10" t="inlineStr">
        <is>
          <t>Joaquín Szterensus</t>
        </is>
      </c>
      <c r="D7" s="10" t="inlineStr">
        <is>
          <t>Dockerfile en cada servicio. Manifiestos de Kubernetes para EKS mergeados el 02/10; auth ya desplegado, el resto falla en el último despliegue.</t>
        </is>
      </c>
    </row>
    <row r="8">
      <c r="A8" s="10" t="inlineStr">
        <is>
          <t>Seguridad según OWASP Top 10</t>
        </is>
      </c>
      <c r="B8" s="10" t="inlineStr">
        <is>
          <t>Parcial</t>
        </is>
      </c>
      <c r="C8" s="10" t="inlineStr">
        <is>
          <t>Equipo</t>
        </is>
      </c>
      <c r="D8" s="10" t="inlineStr">
        <is>
          <t>Argon2id, JWT firmados y revocables, bloqueo por intentos, rate limiting, sanitización y secretos por GitHub Secrets. Falta impedir el secreto JWT por defecto en producción y activar Dependabot.</t>
        </is>
      </c>
    </row>
    <row r="9">
      <c r="A9" s="10" t="inlineStr">
        <is>
          <t>Metodología ágil y herramientas de seguimiento</t>
        </is>
      </c>
      <c r="B9" s="10" t="inlineStr">
        <is>
          <t>Cumplido</t>
        </is>
      </c>
      <c r="C9" s="10" t="inlineStr">
        <is>
          <t>Equipo</t>
        </is>
      </c>
      <c r="D9" s="10" t="inlineStr">
        <is>
          <t>Sprints semanales, GitHub Project, issues con etiquetas de épica, puntos y servicio, y pull requests con review.</t>
        </is>
      </c>
    </row>
    <row r="10">
      <c r="A10" s="10" t="inlineStr">
        <is>
          <t>Documentación técnica y funcional</t>
        </is>
      </c>
      <c r="B10" s="10" t="inlineStr">
        <is>
          <t>En curso</t>
        </is>
      </c>
      <c r="C10" s="10" t="inlineStr">
        <is>
          <t>Equipo</t>
        </is>
      </c>
      <c r="D10" s="10" t="inlineStr">
        <is>
          <t>README y guía de contribución por repo; ADRs y diagramas de esta entrega.</t>
        </is>
      </c>
    </row>
    <row r="11">
      <c r="A11" s="10" t="inlineStr">
        <is>
          <t>Tests unitarios, de integración y de estrés</t>
        </is>
      </c>
      <c r="B11" s="10" t="inlineStr">
        <is>
          <t>Parcial</t>
        </is>
      </c>
      <c r="C11" s="10" t="inlineStr">
        <is>
          <t>Equipo</t>
        </is>
      </c>
      <c r="D11" s="10" t="inlineStr">
        <is>
          <t>Unitarios e integración en todos los backends. Pruebas de estrés pendientes.</t>
        </is>
      </c>
    </row>
    <row r="12">
      <c r="A12" s="10" t="inlineStr">
        <is>
          <t>Tests de integración en todos los backends</t>
        </is>
      </c>
      <c r="B12" s="10" t="inlineStr">
        <is>
          <t>Cumplido</t>
        </is>
      </c>
      <c r="C12" s="10" t="inlineStr">
        <is>
          <t>Equipo</t>
        </is>
      </c>
      <c r="D12" s="10" t="inlineStr">
        <is>
          <t>Corren contra un PostgreSQL real en la CI de cada servicio.</t>
        </is>
      </c>
    </row>
    <row r="13">
      <c r="A13" s="10" t="inlineStr">
        <is>
          <t>Cobertura mínima del 85% en cada servicio y en el frontend, dentro de la CI</t>
        </is>
      </c>
      <c r="B13" s="10" t="inlineStr">
        <is>
          <t>Parcial</t>
        </is>
      </c>
      <c r="C13" s="10" t="inlineStr">
        <is>
          <t>Equipo</t>
        </is>
      </c>
      <c r="D13" s="10" t="inlineStr">
        <is>
          <t>Backends entre 89,9% y 99,3% con mínimo exigido en la CI. App mobile en 61%, sin mínimo en la CI.</t>
        </is>
      </c>
    </row>
    <row r="14">
      <c r="A14" s="10" t="inlineStr">
        <is>
          <t>Cobertura visible en cada repositorio</t>
        </is>
      </c>
      <c r="B14" s="10" t="inlineStr">
        <is>
          <t>En curso</t>
        </is>
      </c>
      <c r="C14" s="10" t="inlineStr">
        <is>
          <t>Tomás Díaz</t>
        </is>
      </c>
      <c r="D14" s="10" t="inlineStr">
        <is>
          <t>Codecov con badge en admin-service; pull requests abiertos en los demás repos.</t>
        </is>
      </c>
    </row>
    <row r="15">
      <c r="A15" s="10" t="inlineStr">
        <is>
          <t>Despliegue continuo con GitHub Actions</t>
        </is>
      </c>
      <c r="B15" s="10" t="inlineStr">
        <is>
          <t>En curso</t>
        </is>
      </c>
      <c r="C15" s="10" t="inlineStr">
        <is>
          <t>Joaquín Szterensus</t>
        </is>
      </c>
      <c r="D15" s="10" t="inlineStr">
        <is>
          <t>Workflow de deploy en los 6 servicios: OIDC, imagen en ECR, aplicar en EKS y esperar el rollout.</t>
        </is>
      </c>
    </row>
    <row r="16">
      <c r="A16" s="10" t="inlineStr">
        <is>
          <t>Observabilidad: métricas, logs y trazas, con acceso del tutor</t>
        </is>
      </c>
      <c r="B16" s="10" t="inlineStr">
        <is>
          <t>Pendiente</t>
        </is>
      </c>
      <c r="C16" s="10" t="inlineStr"/>
      <c r="D16" s="10" t="inlineStr">
        <is>
          <t>Todavía no implementado.</t>
        </is>
      </c>
    </row>
    <row r="17">
      <c r="A17" s="10" t="inlineStr">
        <is>
          <t>Rate limiting en al menos un microservicio</t>
        </is>
      </c>
      <c r="B17" s="10" t="inlineStr">
        <is>
          <t>Cumplido</t>
        </is>
      </c>
      <c r="C17" s="10" t="inlineStr">
        <is>
          <t>Joaquín Szterensus, Santino Domato</t>
        </is>
      </c>
      <c r="D17" s="10" t="inlineStr">
        <is>
          <t>posts: 30 posts por hora. social: 50 follows por hora. auth: bloqueo tras 5 intentos de login fallidos.</t>
        </is>
      </c>
    </row>
    <row r="18">
      <c r="A18" s="10" t="inlineStr">
        <is>
          <t>Al menos una cola asincrónica entre dos microservicios</t>
        </is>
      </c>
      <c r="B18" s="10" t="inlineStr">
        <is>
          <t>Pendiente</t>
        </is>
      </c>
      <c r="C18" s="10" t="inlineStr"/>
      <c r="D18" s="10" t="inlineStr">
        <is>
          <t>auth ya publica el evento user_deleted a través de una interfaz, hoy solo registrado en el log; falta el broker y el consumidor.</t>
        </is>
      </c>
    </row>
    <row r="19">
      <c r="A19" s="10" t="inlineStr">
        <is>
          <t>Buena experiencia de usuario en app y backoffice</t>
        </is>
      </c>
      <c r="B19" s="10" t="inlineStr">
        <is>
          <t>En curso</t>
        </is>
      </c>
      <c r="C19" s="10" t="inlineStr">
        <is>
          <t>Equipo</t>
        </is>
      </c>
      <c r="D19" s="10" t="inlineStr">
        <is>
          <t>Sistema de diseño propio, tema claro y oscuro, idiomas español e inglés.</t>
        </is>
      </c>
    </row>
    <row r="20">
      <c r="A20" s="10" t="inlineStr">
        <is>
          <t>Al menos una funcionalidad con inteligencia artificial</t>
        </is>
      </c>
      <c r="B20" s="10" t="inlineStr">
        <is>
          <t>Pendiente</t>
        </is>
      </c>
      <c r="C20" s="10" t="inlineStr"/>
      <c r="D20" s="10" t="inlineStr">
        <is>
          <t>Se propone en la semana 11, acordada con el tutor.</t>
        </is>
      </c>
    </row>
  </sheetData>
  <conditionalFormatting sqref="B2:B20">
    <cfRule type="expression" priority="1" dxfId="0">
      <formula>$B2="Cumplido"</formula>
    </cfRule>
    <cfRule type="expression" priority="2" dxfId="1">
      <formula>OR($B2="En curso",$B2="Parcial")</formula>
    </cfRule>
    <cfRule type="expression" priority="3" dxfId="3">
      <formula>$B2="Pendiente"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2026-10-02T19:34:19Z</dcterms:created>
  <dcterms:modified xmlns:dcterms="http://purl.org/dc/terms/" xmlns:xsi="http://www.w3.org/2001/XMLSchema-instance" xsi:type="dcterms:W3CDTF">2026-10-02T19:34:20Z</dcterms:modified>
</cp:coreProperties>
</file>